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P\Desktop\Industry sales project\"/>
    </mc:Choice>
  </mc:AlternateContent>
  <xr:revisionPtr revIDLastSave="0" documentId="13_ncr:1_{8D151142-14DC-4A15-B2B3-7FBAA0C0CCEF}" xr6:coauthVersionLast="47" xr6:coauthVersionMax="47" xr10:uidLastSave="{00000000-0000-0000-0000-000000000000}"/>
  <bookViews>
    <workbookView xWindow="-110" yWindow="-110" windowWidth="19420" windowHeight="10420" activeTab="4" xr2:uid="{00000000-000D-0000-FFFF-FFFF00000000}"/>
  </bookViews>
  <sheets>
    <sheet name="Messy Sales data" sheetId="6" r:id="rId1"/>
    <sheet name="Cleaned SalesData" sheetId="2" r:id="rId2"/>
    <sheet name="Updated Data" sheetId="4" r:id="rId3"/>
    <sheet name="Sorting" sheetId="5" r:id="rId4"/>
    <sheet name="Pivot" sheetId="3" r:id="rId5"/>
  </sheet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301" i="5" l="1"/>
  <c r="N300" i="5"/>
  <c r="N299" i="5"/>
  <c r="N298" i="5"/>
  <c r="N297" i="5"/>
  <c r="N296" i="5"/>
  <c r="N295" i="5"/>
  <c r="N294" i="5"/>
  <c r="N293" i="5"/>
  <c r="N292" i="5"/>
  <c r="N291" i="5"/>
  <c r="N290" i="5"/>
  <c r="N289" i="5"/>
  <c r="N288" i="5"/>
  <c r="N287" i="5"/>
  <c r="N286" i="5"/>
  <c r="N285" i="5"/>
  <c r="N284" i="5"/>
  <c r="N283" i="5"/>
  <c r="N282" i="5"/>
  <c r="N281" i="5"/>
  <c r="N280" i="5"/>
  <c r="N279" i="5"/>
  <c r="N278" i="5"/>
  <c r="N277" i="5"/>
  <c r="N276" i="5"/>
  <c r="N275" i="5"/>
  <c r="N274" i="5"/>
  <c r="N273" i="5"/>
  <c r="N272" i="5"/>
  <c r="N271" i="5"/>
  <c r="N270" i="5"/>
  <c r="N269" i="5"/>
  <c r="N268" i="5"/>
  <c r="N267" i="5"/>
  <c r="N266" i="5"/>
  <c r="N265" i="5"/>
  <c r="N264" i="5"/>
  <c r="N263" i="5"/>
  <c r="N262" i="5"/>
  <c r="N261" i="5"/>
  <c r="N260" i="5"/>
  <c r="N259" i="5"/>
  <c r="N258" i="5"/>
  <c r="N257" i="5"/>
  <c r="N256" i="5"/>
  <c r="N255" i="5"/>
  <c r="N254" i="5"/>
  <c r="N253" i="5"/>
  <c r="N252" i="5"/>
  <c r="N251" i="5"/>
  <c r="N250" i="5"/>
  <c r="N249" i="5"/>
  <c r="N248" i="5"/>
  <c r="N247" i="5"/>
  <c r="N246" i="5"/>
  <c r="N245" i="5"/>
  <c r="N244" i="5"/>
  <c r="N243" i="5"/>
  <c r="N242" i="5"/>
  <c r="N241" i="5"/>
  <c r="N240" i="5"/>
  <c r="N239" i="5"/>
  <c r="N238" i="5"/>
  <c r="N237" i="5"/>
  <c r="N236" i="5"/>
  <c r="N235" i="5"/>
  <c r="N234" i="5"/>
  <c r="N233" i="5"/>
  <c r="N232" i="5"/>
  <c r="N231" i="5"/>
  <c r="N230" i="5"/>
  <c r="N229" i="5"/>
  <c r="N228" i="5"/>
  <c r="N227" i="5"/>
  <c r="N226" i="5"/>
  <c r="N225" i="5"/>
  <c r="N224" i="5"/>
  <c r="N223" i="5"/>
  <c r="N222" i="5"/>
  <c r="N221" i="5"/>
  <c r="N220" i="5"/>
  <c r="N219" i="5"/>
  <c r="N218" i="5"/>
  <c r="N217" i="5"/>
  <c r="N216" i="5"/>
  <c r="N215" i="5"/>
  <c r="N214" i="5"/>
  <c r="N213" i="5"/>
  <c r="N212" i="5"/>
  <c r="N211" i="5"/>
  <c r="N210" i="5"/>
  <c r="N209" i="5"/>
  <c r="N208" i="5"/>
  <c r="N207" i="5"/>
  <c r="N206" i="5"/>
  <c r="N205" i="5"/>
  <c r="N204" i="5"/>
  <c r="N203" i="5"/>
  <c r="N202" i="5"/>
  <c r="N201" i="5"/>
  <c r="N200" i="5"/>
  <c r="N199" i="5"/>
  <c r="N198" i="5"/>
  <c r="N197" i="5"/>
  <c r="N196" i="5"/>
  <c r="N195" i="5"/>
  <c r="N194" i="5"/>
  <c r="N193" i="5"/>
  <c r="N192" i="5"/>
  <c r="N191" i="5"/>
  <c r="N190" i="5"/>
  <c r="N189" i="5"/>
  <c r="N188" i="5"/>
  <c r="N187" i="5"/>
  <c r="N186" i="5"/>
  <c r="N185" i="5"/>
  <c r="N184" i="5"/>
  <c r="N183" i="5"/>
  <c r="N182" i="5"/>
  <c r="N181" i="5"/>
  <c r="N180" i="5"/>
  <c r="N179" i="5"/>
  <c r="N178" i="5"/>
  <c r="N177" i="5"/>
  <c r="N176" i="5"/>
  <c r="N175" i="5"/>
  <c r="N174" i="5"/>
  <c r="N173" i="5"/>
  <c r="N172" i="5"/>
  <c r="N171" i="5"/>
  <c r="N170" i="5"/>
  <c r="N169" i="5"/>
  <c r="N168" i="5"/>
  <c r="N167" i="5"/>
  <c r="N166" i="5"/>
  <c r="N165" i="5"/>
  <c r="N164" i="5"/>
  <c r="N163" i="5"/>
  <c r="N162" i="5"/>
  <c r="N161" i="5"/>
  <c r="N160" i="5"/>
  <c r="N159" i="5"/>
  <c r="N158" i="5"/>
  <c r="N157" i="5"/>
  <c r="N156" i="5"/>
  <c r="N155" i="5"/>
  <c r="N154" i="5"/>
  <c r="N153" i="5"/>
  <c r="N152" i="5"/>
  <c r="N151" i="5"/>
  <c r="N150" i="5"/>
  <c r="N149" i="5"/>
  <c r="N148" i="5"/>
  <c r="N147" i="5"/>
  <c r="N146" i="5"/>
  <c r="N145" i="5"/>
  <c r="N144" i="5"/>
  <c r="N143" i="5"/>
  <c r="N142" i="5"/>
  <c r="N141" i="5"/>
  <c r="N140" i="5"/>
  <c r="N139" i="5"/>
  <c r="N138" i="5"/>
  <c r="N137" i="5"/>
  <c r="N136" i="5"/>
  <c r="N135" i="5"/>
  <c r="N134" i="5"/>
  <c r="N133" i="5"/>
  <c r="N132" i="5"/>
  <c r="N131" i="5"/>
  <c r="N130" i="5"/>
  <c r="N129" i="5"/>
  <c r="N128" i="5"/>
  <c r="N127" i="5"/>
  <c r="N126" i="5"/>
  <c r="N125" i="5"/>
  <c r="N124" i="5"/>
  <c r="N123" i="5"/>
  <c r="N122" i="5"/>
  <c r="N121" i="5"/>
  <c r="N120" i="5"/>
  <c r="N119" i="5"/>
  <c r="N118" i="5"/>
  <c r="N117" i="5"/>
  <c r="N116" i="5"/>
  <c r="N115" i="5"/>
  <c r="N114" i="5"/>
  <c r="N113" i="5"/>
  <c r="N112" i="5"/>
  <c r="N111" i="5"/>
  <c r="N110" i="5"/>
  <c r="N109" i="5"/>
  <c r="N108" i="5"/>
  <c r="N107" i="5"/>
  <c r="N106" i="5"/>
  <c r="N105" i="5"/>
  <c r="N104" i="5"/>
  <c r="N103" i="5"/>
  <c r="N102" i="5"/>
  <c r="N101" i="5"/>
  <c r="N100" i="5"/>
  <c r="N99" i="5"/>
  <c r="N98" i="5"/>
  <c r="N97" i="5"/>
  <c r="N96" i="5"/>
  <c r="N95" i="5"/>
  <c r="N94" i="5"/>
  <c r="N93" i="5"/>
  <c r="N92" i="5"/>
  <c r="N91" i="5"/>
  <c r="N90" i="5"/>
  <c r="N89" i="5"/>
  <c r="N88" i="5"/>
  <c r="N87" i="5"/>
  <c r="N86" i="5"/>
  <c r="N85" i="5"/>
  <c r="N84" i="5"/>
  <c r="N83" i="5"/>
  <c r="N82" i="5"/>
  <c r="N81" i="5"/>
  <c r="N80" i="5"/>
  <c r="N79" i="5"/>
  <c r="N78" i="5"/>
  <c r="N77" i="5"/>
  <c r="N76" i="5"/>
  <c r="N75" i="5"/>
  <c r="N74" i="5"/>
  <c r="N73" i="5"/>
  <c r="N72" i="5"/>
  <c r="N71" i="5"/>
  <c r="N70" i="5"/>
  <c r="N69" i="5"/>
  <c r="N68" i="5"/>
  <c r="N67" i="5"/>
  <c r="N66" i="5"/>
  <c r="N65" i="5"/>
  <c r="N64" i="5"/>
  <c r="N63" i="5"/>
  <c r="N62" i="5"/>
  <c r="N61" i="5"/>
  <c r="N60" i="5"/>
  <c r="N59" i="5"/>
  <c r="N58" i="5"/>
  <c r="N57" i="5"/>
  <c r="N56" i="5"/>
  <c r="N55" i="5"/>
  <c r="N54" i="5"/>
  <c r="N53" i="5"/>
  <c r="N52" i="5"/>
  <c r="N51" i="5"/>
  <c r="N50" i="5"/>
  <c r="N49" i="5"/>
  <c r="N48" i="5"/>
  <c r="N47" i="5"/>
  <c r="N46" i="5"/>
  <c r="N45" i="5"/>
  <c r="N44" i="5"/>
  <c r="N43" i="5"/>
  <c r="N42" i="5"/>
  <c r="N41" i="5"/>
  <c r="N40" i="5"/>
  <c r="N39" i="5"/>
  <c r="N38" i="5"/>
  <c r="N37" i="5"/>
  <c r="N36" i="5"/>
  <c r="N35" i="5"/>
  <c r="N34" i="5"/>
  <c r="N33" i="5"/>
  <c r="N32" i="5"/>
  <c r="N31" i="5"/>
  <c r="N30" i="5"/>
  <c r="N29" i="5"/>
  <c r="N28" i="5"/>
  <c r="N27" i="5"/>
  <c r="N26" i="5"/>
  <c r="N25" i="5"/>
  <c r="N24" i="5"/>
  <c r="N23" i="5"/>
  <c r="N22" i="5"/>
  <c r="N21" i="5"/>
  <c r="N20" i="5"/>
  <c r="N19" i="5"/>
  <c r="N18" i="5"/>
  <c r="N17" i="5"/>
  <c r="N16" i="5"/>
  <c r="N15" i="5"/>
  <c r="N14" i="5"/>
  <c r="N13" i="5"/>
  <c r="N12" i="5"/>
  <c r="N11" i="5"/>
  <c r="N10" i="5"/>
  <c r="N9" i="5"/>
  <c r="N8" i="5"/>
  <c r="N7" i="5"/>
  <c r="N6" i="5"/>
  <c r="N5" i="5"/>
  <c r="N4" i="5"/>
  <c r="N3" i="5"/>
  <c r="N2" i="5"/>
  <c r="U301" i="4" a="1"/>
  <c r="U301" i="4" s="1"/>
  <c r="S301" i="4"/>
  <c r="T301" i="4" s="1"/>
  <c r="R301" i="4"/>
  <c r="Q301" i="4"/>
  <c r="P301" i="4"/>
  <c r="O301" i="4"/>
  <c r="N301" i="4"/>
  <c r="U300" i="4" a="1"/>
  <c r="U300" i="4"/>
  <c r="S300" i="4"/>
  <c r="T300" i="4" s="1"/>
  <c r="R300" i="4"/>
  <c r="Q300" i="4"/>
  <c r="P300" i="4"/>
  <c r="O300" i="4"/>
  <c r="N300" i="4"/>
  <c r="U299" i="4" a="1"/>
  <c r="U299" i="4"/>
  <c r="T299" i="4"/>
  <c r="S299" i="4"/>
  <c r="R299" i="4"/>
  <c r="Q299" i="4"/>
  <c r="P299" i="4"/>
  <c r="O299" i="4"/>
  <c r="N299" i="4"/>
  <c r="U298" i="4" a="1"/>
  <c r="U298" i="4"/>
  <c r="S298" i="4"/>
  <c r="T298" i="4" s="1"/>
  <c r="R298" i="4"/>
  <c r="Q298" i="4"/>
  <c r="P298" i="4"/>
  <c r="O298" i="4"/>
  <c r="N298" i="4"/>
  <c r="U297" i="4" a="1"/>
  <c r="U297" i="4" s="1"/>
  <c r="S297" i="4"/>
  <c r="T297" i="4" s="1"/>
  <c r="R297" i="4"/>
  <c r="Q297" i="4"/>
  <c r="P297" i="4"/>
  <c r="O297" i="4"/>
  <c r="N297" i="4"/>
  <c r="U296" i="4" a="1"/>
  <c r="U296" i="4"/>
  <c r="S296" i="4"/>
  <c r="T296" i="4" s="1"/>
  <c r="R296" i="4"/>
  <c r="Q296" i="4"/>
  <c r="P296" i="4"/>
  <c r="O296" i="4"/>
  <c r="N296" i="4"/>
  <c r="U295" i="4" a="1"/>
  <c r="U295" i="4"/>
  <c r="T295" i="4"/>
  <c r="S295" i="4"/>
  <c r="R295" i="4"/>
  <c r="Q295" i="4"/>
  <c r="P295" i="4"/>
  <c r="O295" i="4"/>
  <c r="N295" i="4"/>
  <c r="U294" i="4" a="1"/>
  <c r="U294" i="4"/>
  <c r="S294" i="4"/>
  <c r="T294" i="4" s="1"/>
  <c r="R294" i="4"/>
  <c r="Q294" i="4"/>
  <c r="P294" i="4"/>
  <c r="O294" i="4"/>
  <c r="N294" i="4"/>
  <c r="U293" i="4" a="1"/>
  <c r="U293" i="4" s="1"/>
  <c r="S293" i="4"/>
  <c r="T293" i="4" s="1"/>
  <c r="R293" i="4"/>
  <c r="Q293" i="4"/>
  <c r="P293" i="4"/>
  <c r="O293" i="4"/>
  <c r="N293" i="4"/>
  <c r="U292" i="4" a="1"/>
  <c r="U292" i="4"/>
  <c r="T292" i="4"/>
  <c r="S292" i="4"/>
  <c r="R292" i="4"/>
  <c r="Q292" i="4"/>
  <c r="P292" i="4"/>
  <c r="O292" i="4"/>
  <c r="N292" i="4"/>
  <c r="U291" i="4" a="1"/>
  <c r="U291" i="4"/>
  <c r="T291" i="4"/>
  <c r="S291" i="4"/>
  <c r="R291" i="4"/>
  <c r="Q291" i="4"/>
  <c r="P291" i="4"/>
  <c r="O291" i="4"/>
  <c r="N291" i="4"/>
  <c r="U290" i="4" a="1"/>
  <c r="U290" i="4" s="1"/>
  <c r="S290" i="4"/>
  <c r="T290" i="4" s="1"/>
  <c r="R290" i="4"/>
  <c r="Q290" i="4"/>
  <c r="P290" i="4"/>
  <c r="O290" i="4"/>
  <c r="N290" i="4"/>
  <c r="U289" i="4" a="1"/>
  <c r="U289" i="4" s="1"/>
  <c r="S289" i="4"/>
  <c r="T289" i="4" s="1"/>
  <c r="R289" i="4"/>
  <c r="Q289" i="4"/>
  <c r="P289" i="4"/>
  <c r="O289" i="4"/>
  <c r="N289" i="4"/>
  <c r="U288" i="4" a="1"/>
  <c r="U288" i="4"/>
  <c r="S288" i="4"/>
  <c r="T288" i="4" s="1"/>
  <c r="R288" i="4"/>
  <c r="Q288" i="4"/>
  <c r="P288" i="4"/>
  <c r="O288" i="4"/>
  <c r="N288" i="4"/>
  <c r="U287" i="4" a="1"/>
  <c r="U287" i="4"/>
  <c r="T287" i="4"/>
  <c r="S287" i="4"/>
  <c r="R287" i="4"/>
  <c r="Q287" i="4"/>
  <c r="P287" i="4"/>
  <c r="O287" i="4"/>
  <c r="N287" i="4"/>
  <c r="U286" i="4" a="1"/>
  <c r="U286" i="4"/>
  <c r="S286" i="4"/>
  <c r="T286" i="4" s="1"/>
  <c r="R286" i="4"/>
  <c r="Q286" i="4"/>
  <c r="P286" i="4"/>
  <c r="O286" i="4"/>
  <c r="N286" i="4"/>
  <c r="U285" i="4" a="1"/>
  <c r="U285" i="4" s="1"/>
  <c r="S285" i="4"/>
  <c r="T285" i="4" s="1"/>
  <c r="R285" i="4"/>
  <c r="Q285" i="4"/>
  <c r="P285" i="4"/>
  <c r="O285" i="4"/>
  <c r="N285" i="4"/>
  <c r="U284" i="4" a="1"/>
  <c r="U284" i="4"/>
  <c r="S284" i="4"/>
  <c r="T284" i="4" s="1"/>
  <c r="R284" i="4"/>
  <c r="Q284" i="4"/>
  <c r="P284" i="4"/>
  <c r="O284" i="4"/>
  <c r="N284" i="4"/>
  <c r="U283" i="4" a="1"/>
  <c r="U283" i="4"/>
  <c r="T283" i="4"/>
  <c r="S283" i="4"/>
  <c r="R283" i="4"/>
  <c r="Q283" i="4"/>
  <c r="P283" i="4"/>
  <c r="O283" i="4"/>
  <c r="N283" i="4"/>
  <c r="U282" i="4" a="1"/>
  <c r="U282" i="4"/>
  <c r="S282" i="4"/>
  <c r="T282" i="4" s="1"/>
  <c r="R282" i="4"/>
  <c r="Q282" i="4"/>
  <c r="P282" i="4"/>
  <c r="O282" i="4"/>
  <c r="N282" i="4"/>
  <c r="U281" i="4" a="1"/>
  <c r="U281" i="4" s="1"/>
  <c r="S281" i="4"/>
  <c r="T281" i="4" s="1"/>
  <c r="R281" i="4"/>
  <c r="Q281" i="4"/>
  <c r="P281" i="4"/>
  <c r="O281" i="4"/>
  <c r="N281" i="4"/>
  <c r="U280" i="4" a="1"/>
  <c r="U280" i="4"/>
  <c r="S280" i="4"/>
  <c r="T280" i="4" s="1"/>
  <c r="R280" i="4"/>
  <c r="Q280" i="4"/>
  <c r="P280" i="4"/>
  <c r="O280" i="4"/>
  <c r="N280" i="4"/>
  <c r="U279" i="4" a="1"/>
  <c r="U279" i="4"/>
  <c r="T279" i="4"/>
  <c r="S279" i="4"/>
  <c r="R279" i="4"/>
  <c r="Q279" i="4"/>
  <c r="P279" i="4"/>
  <c r="O279" i="4"/>
  <c r="N279" i="4"/>
  <c r="U278" i="4" a="1"/>
  <c r="U278" i="4"/>
  <c r="S278" i="4"/>
  <c r="T278" i="4" s="1"/>
  <c r="R278" i="4"/>
  <c r="Q278" i="4"/>
  <c r="P278" i="4"/>
  <c r="O278" i="4"/>
  <c r="N278" i="4"/>
  <c r="U277" i="4" a="1"/>
  <c r="U277" i="4" s="1"/>
  <c r="S277" i="4"/>
  <c r="T277" i="4" s="1"/>
  <c r="R277" i="4"/>
  <c r="Q277" i="4"/>
  <c r="P277" i="4"/>
  <c r="O277" i="4"/>
  <c r="N277" i="4"/>
  <c r="U276" i="4" a="1"/>
  <c r="U276" i="4"/>
  <c r="T276" i="4"/>
  <c r="S276" i="4"/>
  <c r="R276" i="4"/>
  <c r="Q276" i="4"/>
  <c r="P276" i="4"/>
  <c r="O276" i="4"/>
  <c r="N276" i="4"/>
  <c r="U275" i="4" a="1"/>
  <c r="U275" i="4"/>
  <c r="T275" i="4"/>
  <c r="S275" i="4"/>
  <c r="R275" i="4"/>
  <c r="Q275" i="4"/>
  <c r="P275" i="4"/>
  <c r="O275" i="4"/>
  <c r="N275" i="4"/>
  <c r="U274" i="4" a="1"/>
  <c r="U274" i="4" s="1"/>
  <c r="S274" i="4"/>
  <c r="T274" i="4" s="1"/>
  <c r="R274" i="4"/>
  <c r="Q274" i="4"/>
  <c r="P274" i="4"/>
  <c r="O274" i="4"/>
  <c r="N274" i="4"/>
  <c r="U273" i="4" a="1"/>
  <c r="U273" i="4" s="1"/>
  <c r="S273" i="4"/>
  <c r="T273" i="4" s="1"/>
  <c r="R273" i="4"/>
  <c r="Q273" i="4"/>
  <c r="P273" i="4"/>
  <c r="O273" i="4"/>
  <c r="N273" i="4"/>
  <c r="U272" i="4" a="1"/>
  <c r="U272" i="4"/>
  <c r="S272" i="4"/>
  <c r="T272" i="4" s="1"/>
  <c r="R272" i="4"/>
  <c r="Q272" i="4"/>
  <c r="P272" i="4"/>
  <c r="O272" i="4"/>
  <c r="N272" i="4"/>
  <c r="U271" i="4" a="1"/>
  <c r="U271" i="4"/>
  <c r="T271" i="4"/>
  <c r="S271" i="4"/>
  <c r="R271" i="4"/>
  <c r="Q271" i="4"/>
  <c r="P271" i="4"/>
  <c r="O271" i="4"/>
  <c r="N271" i="4"/>
  <c r="U270" i="4" a="1"/>
  <c r="U270" i="4"/>
  <c r="S270" i="4"/>
  <c r="T270" i="4" s="1"/>
  <c r="R270" i="4"/>
  <c r="Q270" i="4"/>
  <c r="P270" i="4"/>
  <c r="O270" i="4"/>
  <c r="N270" i="4"/>
  <c r="U269" i="4" a="1"/>
  <c r="U269" i="4" s="1"/>
  <c r="S269" i="4"/>
  <c r="T269" i="4" s="1"/>
  <c r="R269" i="4"/>
  <c r="Q269" i="4"/>
  <c r="P269" i="4"/>
  <c r="O269" i="4"/>
  <c r="N269" i="4"/>
  <c r="U268" i="4" a="1"/>
  <c r="U268" i="4"/>
  <c r="S268" i="4"/>
  <c r="T268" i="4" s="1"/>
  <c r="R268" i="4"/>
  <c r="Q268" i="4"/>
  <c r="P268" i="4"/>
  <c r="O268" i="4"/>
  <c r="N268" i="4"/>
  <c r="U267" i="4" a="1"/>
  <c r="U267" i="4"/>
  <c r="T267" i="4"/>
  <c r="S267" i="4"/>
  <c r="R267" i="4"/>
  <c r="Q267" i="4"/>
  <c r="P267" i="4"/>
  <c r="O267" i="4"/>
  <c r="N267" i="4"/>
  <c r="U266" i="4" a="1"/>
  <c r="U266" i="4"/>
  <c r="S266" i="4"/>
  <c r="T266" i="4" s="1"/>
  <c r="R266" i="4"/>
  <c r="Q266" i="4"/>
  <c r="P266" i="4"/>
  <c r="O266" i="4"/>
  <c r="N266" i="4"/>
  <c r="U265" i="4" a="1"/>
  <c r="U265" i="4" s="1"/>
  <c r="S265" i="4"/>
  <c r="T265" i="4" s="1"/>
  <c r="R265" i="4"/>
  <c r="Q265" i="4"/>
  <c r="P265" i="4"/>
  <c r="O265" i="4"/>
  <c r="N265" i="4"/>
  <c r="U264" i="4" a="1"/>
  <c r="U264" i="4"/>
  <c r="S264" i="4"/>
  <c r="T264" i="4" s="1"/>
  <c r="R264" i="4"/>
  <c r="Q264" i="4"/>
  <c r="P264" i="4"/>
  <c r="O264" i="4"/>
  <c r="N264" i="4"/>
  <c r="U263" i="4" a="1"/>
  <c r="U263" i="4"/>
  <c r="T263" i="4"/>
  <c r="S263" i="4"/>
  <c r="R263" i="4"/>
  <c r="Q263" i="4"/>
  <c r="P263" i="4"/>
  <c r="O263" i="4"/>
  <c r="N263" i="4"/>
  <c r="U262" i="4" a="1"/>
  <c r="U262" i="4"/>
  <c r="S262" i="4"/>
  <c r="T262" i="4" s="1"/>
  <c r="R262" i="4"/>
  <c r="Q262" i="4"/>
  <c r="P262" i="4"/>
  <c r="O262" i="4"/>
  <c r="N262" i="4"/>
  <c r="U261" i="4" a="1"/>
  <c r="U261" i="4" s="1"/>
  <c r="S261" i="4"/>
  <c r="T261" i="4" s="1"/>
  <c r="R261" i="4"/>
  <c r="Q261" i="4"/>
  <c r="P261" i="4"/>
  <c r="O261" i="4"/>
  <c r="N261" i="4"/>
  <c r="U260" i="4" a="1"/>
  <c r="U260" i="4"/>
  <c r="T260" i="4"/>
  <c r="S260" i="4"/>
  <c r="R260" i="4"/>
  <c r="Q260" i="4"/>
  <c r="P260" i="4"/>
  <c r="O260" i="4"/>
  <c r="N260" i="4"/>
  <c r="U259" i="4" a="1"/>
  <c r="U259" i="4"/>
  <c r="T259" i="4"/>
  <c r="S259" i="4"/>
  <c r="R259" i="4"/>
  <c r="Q259" i="4"/>
  <c r="P259" i="4"/>
  <c r="O259" i="4"/>
  <c r="N259" i="4"/>
  <c r="U258" i="4" a="1"/>
  <c r="U258" i="4" s="1"/>
  <c r="S258" i="4"/>
  <c r="T258" i="4" s="1"/>
  <c r="R258" i="4"/>
  <c r="Q258" i="4"/>
  <c r="P258" i="4"/>
  <c r="O258" i="4"/>
  <c r="N258" i="4"/>
  <c r="U257" i="4" a="1"/>
  <c r="U257" i="4" s="1"/>
  <c r="S257" i="4"/>
  <c r="T257" i="4" s="1"/>
  <c r="R257" i="4"/>
  <c r="Q257" i="4"/>
  <c r="P257" i="4"/>
  <c r="O257" i="4"/>
  <c r="N257" i="4"/>
  <c r="U256" i="4" a="1"/>
  <c r="U256" i="4"/>
  <c r="S256" i="4"/>
  <c r="T256" i="4" s="1"/>
  <c r="R256" i="4"/>
  <c r="Q256" i="4"/>
  <c r="P256" i="4"/>
  <c r="O256" i="4"/>
  <c r="N256" i="4"/>
  <c r="U255" i="4" a="1"/>
  <c r="U255" i="4"/>
  <c r="T255" i="4"/>
  <c r="S255" i="4"/>
  <c r="R255" i="4"/>
  <c r="Q255" i="4"/>
  <c r="P255" i="4"/>
  <c r="O255" i="4"/>
  <c r="N255" i="4"/>
  <c r="U254" i="4" a="1"/>
  <c r="U254" i="4"/>
  <c r="S254" i="4"/>
  <c r="T254" i="4" s="1"/>
  <c r="R254" i="4"/>
  <c r="Q254" i="4"/>
  <c r="P254" i="4"/>
  <c r="O254" i="4"/>
  <c r="N254" i="4"/>
  <c r="U253" i="4" a="1"/>
  <c r="U253" i="4" s="1"/>
  <c r="S253" i="4"/>
  <c r="T253" i="4" s="1"/>
  <c r="R253" i="4"/>
  <c r="Q253" i="4"/>
  <c r="P253" i="4"/>
  <c r="O253" i="4"/>
  <c r="N253" i="4"/>
  <c r="U252" i="4" a="1"/>
  <c r="U252" i="4"/>
  <c r="S252" i="4"/>
  <c r="T252" i="4" s="1"/>
  <c r="R252" i="4"/>
  <c r="Q252" i="4"/>
  <c r="P252" i="4"/>
  <c r="O252" i="4"/>
  <c r="N252" i="4"/>
  <c r="U251" i="4" a="1"/>
  <c r="U251" i="4"/>
  <c r="T251" i="4"/>
  <c r="S251" i="4"/>
  <c r="R251" i="4"/>
  <c r="Q251" i="4"/>
  <c r="P251" i="4"/>
  <c r="O251" i="4"/>
  <c r="N251" i="4"/>
  <c r="U250" i="4" a="1"/>
  <c r="U250" i="4"/>
  <c r="S250" i="4"/>
  <c r="T250" i="4" s="1"/>
  <c r="R250" i="4"/>
  <c r="Q250" i="4"/>
  <c r="P250" i="4"/>
  <c r="O250" i="4"/>
  <c r="N250" i="4"/>
  <c r="U249" i="4" a="1"/>
  <c r="U249" i="4" s="1"/>
  <c r="S249" i="4"/>
  <c r="T249" i="4" s="1"/>
  <c r="R249" i="4"/>
  <c r="Q249" i="4"/>
  <c r="P249" i="4"/>
  <c r="O249" i="4"/>
  <c r="N249" i="4"/>
  <c r="U248" i="4" a="1"/>
  <c r="U248" i="4"/>
  <c r="S248" i="4"/>
  <c r="T248" i="4" s="1"/>
  <c r="R248" i="4"/>
  <c r="Q248" i="4"/>
  <c r="P248" i="4"/>
  <c r="O248" i="4"/>
  <c r="N248" i="4"/>
  <c r="U247" i="4" a="1"/>
  <c r="U247" i="4"/>
  <c r="T247" i="4"/>
  <c r="S247" i="4"/>
  <c r="R247" i="4"/>
  <c r="Q247" i="4"/>
  <c r="P247" i="4"/>
  <c r="O247" i="4"/>
  <c r="N247" i="4"/>
  <c r="U246" i="4" a="1"/>
  <c r="U246" i="4"/>
  <c r="S246" i="4"/>
  <c r="T246" i="4" s="1"/>
  <c r="R246" i="4"/>
  <c r="Q246" i="4"/>
  <c r="P246" i="4"/>
  <c r="O246" i="4"/>
  <c r="N246" i="4"/>
  <c r="U245" i="4" a="1"/>
  <c r="U245" i="4" s="1"/>
  <c r="S245" i="4"/>
  <c r="T245" i="4" s="1"/>
  <c r="R245" i="4"/>
  <c r="Q245" i="4"/>
  <c r="P245" i="4"/>
  <c r="O245" i="4"/>
  <c r="N245" i="4"/>
  <c r="U244" i="4" a="1"/>
  <c r="U244" i="4" s="1"/>
  <c r="S244" i="4"/>
  <c r="T244" i="4" s="1"/>
  <c r="R244" i="4"/>
  <c r="Q244" i="4"/>
  <c r="P244" i="4"/>
  <c r="O244" i="4"/>
  <c r="N244" i="4"/>
  <c r="U243" i="4" a="1"/>
  <c r="U243" i="4"/>
  <c r="T243" i="4"/>
  <c r="S243" i="4"/>
  <c r="R243" i="4"/>
  <c r="Q243" i="4"/>
  <c r="P243" i="4"/>
  <c r="O243" i="4"/>
  <c r="N243" i="4"/>
  <c r="U242" i="4" a="1"/>
  <c r="U242" i="4"/>
  <c r="S242" i="4"/>
  <c r="T242" i="4" s="1"/>
  <c r="R242" i="4"/>
  <c r="Q242" i="4"/>
  <c r="P242" i="4"/>
  <c r="O242" i="4"/>
  <c r="N242" i="4"/>
  <c r="U241" i="4" a="1"/>
  <c r="U241" i="4" s="1"/>
  <c r="S241" i="4"/>
  <c r="T241" i="4" s="1"/>
  <c r="R241" i="4"/>
  <c r="Q241" i="4"/>
  <c r="P241" i="4"/>
  <c r="O241" i="4"/>
  <c r="N241" i="4"/>
  <c r="U240" i="4" a="1"/>
  <c r="U240" i="4" s="1"/>
  <c r="S240" i="4"/>
  <c r="T240" i="4" s="1"/>
  <c r="R240" i="4"/>
  <c r="Q240" i="4"/>
  <c r="P240" i="4"/>
  <c r="O240" i="4"/>
  <c r="N240" i="4"/>
  <c r="U239" i="4" a="1"/>
  <c r="U239" i="4"/>
  <c r="T239" i="4"/>
  <c r="S239" i="4"/>
  <c r="R239" i="4"/>
  <c r="Q239" i="4"/>
  <c r="P239" i="4"/>
  <c r="O239" i="4"/>
  <c r="N239" i="4"/>
  <c r="U238" i="4" a="1"/>
  <c r="U238" i="4"/>
  <c r="T238" i="4"/>
  <c r="S238" i="4"/>
  <c r="R238" i="4"/>
  <c r="Q238" i="4"/>
  <c r="P238" i="4"/>
  <c r="O238" i="4"/>
  <c r="N238" i="4"/>
  <c r="U237" i="4" a="1"/>
  <c r="U237" i="4" s="1"/>
  <c r="S237" i="4"/>
  <c r="T237" i="4" s="1"/>
  <c r="R237" i="4"/>
  <c r="Q237" i="4"/>
  <c r="P237" i="4"/>
  <c r="O237" i="4"/>
  <c r="N237" i="4"/>
  <c r="U236" i="4" a="1"/>
  <c r="U236" i="4" s="1"/>
  <c r="T236" i="4"/>
  <c r="S236" i="4"/>
  <c r="R236" i="4"/>
  <c r="Q236" i="4"/>
  <c r="P236" i="4"/>
  <c r="O236" i="4"/>
  <c r="N236" i="4"/>
  <c r="U235" i="4" a="1"/>
  <c r="U235" i="4"/>
  <c r="T235" i="4"/>
  <c r="S235" i="4"/>
  <c r="R235" i="4"/>
  <c r="Q235" i="4"/>
  <c r="P235" i="4"/>
  <c r="O235" i="4"/>
  <c r="N235" i="4"/>
  <c r="U234" i="4" a="1"/>
  <c r="U234" i="4" s="1"/>
  <c r="T234" i="4"/>
  <c r="S234" i="4"/>
  <c r="R234" i="4"/>
  <c r="Q234" i="4"/>
  <c r="P234" i="4"/>
  <c r="O234" i="4"/>
  <c r="N234" i="4"/>
  <c r="U233" i="4" a="1"/>
  <c r="U233" i="4" s="1"/>
  <c r="S233" i="4"/>
  <c r="T233" i="4" s="1"/>
  <c r="R233" i="4"/>
  <c r="Q233" i="4"/>
  <c r="P233" i="4"/>
  <c r="O233" i="4"/>
  <c r="N233" i="4"/>
  <c r="U232" i="4" a="1"/>
  <c r="U232" i="4" s="1"/>
  <c r="S232" i="4"/>
  <c r="T232" i="4" s="1"/>
  <c r="R232" i="4"/>
  <c r="Q232" i="4"/>
  <c r="P232" i="4"/>
  <c r="O232" i="4"/>
  <c r="N232" i="4"/>
  <c r="U231" i="4" a="1"/>
  <c r="U231" i="4"/>
  <c r="T231" i="4"/>
  <c r="S231" i="4"/>
  <c r="R231" i="4"/>
  <c r="Q231" i="4"/>
  <c r="P231" i="4"/>
  <c r="O231" i="4"/>
  <c r="N231" i="4"/>
  <c r="U230" i="4" a="1"/>
  <c r="U230" i="4"/>
  <c r="T230" i="4"/>
  <c r="S230" i="4"/>
  <c r="R230" i="4"/>
  <c r="Q230" i="4"/>
  <c r="P230" i="4"/>
  <c r="O230" i="4"/>
  <c r="N230" i="4"/>
  <c r="U229" i="4" a="1"/>
  <c r="U229" i="4" s="1"/>
  <c r="S229" i="4"/>
  <c r="T229" i="4" s="1"/>
  <c r="R229" i="4"/>
  <c r="Q229" i="4"/>
  <c r="P229" i="4"/>
  <c r="O229" i="4"/>
  <c r="N229" i="4"/>
  <c r="U228" i="4" a="1"/>
  <c r="U228" i="4" s="1"/>
  <c r="S228" i="4"/>
  <c r="T228" i="4" s="1"/>
  <c r="R228" i="4"/>
  <c r="Q228" i="4"/>
  <c r="P228" i="4"/>
  <c r="O228" i="4"/>
  <c r="N228" i="4"/>
  <c r="U227" i="4" a="1"/>
  <c r="U227" i="4"/>
  <c r="T227" i="4"/>
  <c r="S227" i="4"/>
  <c r="R227" i="4"/>
  <c r="Q227" i="4"/>
  <c r="P227" i="4"/>
  <c r="O227" i="4"/>
  <c r="N227" i="4"/>
  <c r="U226" i="4" a="1"/>
  <c r="U226" i="4"/>
  <c r="T226" i="4"/>
  <c r="S226" i="4"/>
  <c r="R226" i="4"/>
  <c r="Q226" i="4"/>
  <c r="P226" i="4"/>
  <c r="O226" i="4"/>
  <c r="N226" i="4"/>
  <c r="U225" i="4" a="1"/>
  <c r="U225" i="4" s="1"/>
  <c r="S225" i="4"/>
  <c r="T225" i="4" s="1"/>
  <c r="R225" i="4"/>
  <c r="Q225" i="4"/>
  <c r="P225" i="4"/>
  <c r="O225" i="4"/>
  <c r="N225" i="4"/>
  <c r="U224" i="4" a="1"/>
  <c r="U224" i="4" s="1"/>
  <c r="S224" i="4"/>
  <c r="T224" i="4" s="1"/>
  <c r="R224" i="4"/>
  <c r="Q224" i="4"/>
  <c r="P224" i="4"/>
  <c r="O224" i="4"/>
  <c r="N224" i="4"/>
  <c r="U223" i="4" a="1"/>
  <c r="U223" i="4"/>
  <c r="T223" i="4"/>
  <c r="S223" i="4"/>
  <c r="R223" i="4"/>
  <c r="Q223" i="4"/>
  <c r="P223" i="4"/>
  <c r="O223" i="4"/>
  <c r="N223" i="4"/>
  <c r="U222" i="4" a="1"/>
  <c r="U222" i="4"/>
  <c r="T222" i="4"/>
  <c r="S222" i="4"/>
  <c r="R222" i="4"/>
  <c r="Q222" i="4"/>
  <c r="P222" i="4"/>
  <c r="O222" i="4"/>
  <c r="N222" i="4"/>
  <c r="U221" i="4" a="1"/>
  <c r="U221" i="4" s="1"/>
  <c r="S221" i="4"/>
  <c r="T221" i="4" s="1"/>
  <c r="R221" i="4"/>
  <c r="Q221" i="4"/>
  <c r="P221" i="4"/>
  <c r="O221" i="4"/>
  <c r="N221" i="4"/>
  <c r="U220" i="4" a="1"/>
  <c r="U220" i="4" s="1"/>
  <c r="T220" i="4"/>
  <c r="S220" i="4"/>
  <c r="R220" i="4"/>
  <c r="Q220" i="4"/>
  <c r="P220" i="4"/>
  <c r="O220" i="4"/>
  <c r="N220" i="4"/>
  <c r="U219" i="4" a="1"/>
  <c r="U219" i="4"/>
  <c r="T219" i="4"/>
  <c r="S219" i="4"/>
  <c r="R219" i="4"/>
  <c r="Q219" i="4"/>
  <c r="P219" i="4"/>
  <c r="O219" i="4"/>
  <c r="N219" i="4"/>
  <c r="U218" i="4" a="1"/>
  <c r="U218" i="4" s="1"/>
  <c r="T218" i="4"/>
  <c r="S218" i="4"/>
  <c r="R218" i="4"/>
  <c r="Q218" i="4"/>
  <c r="P218" i="4"/>
  <c r="O218" i="4"/>
  <c r="N218" i="4"/>
  <c r="U217" i="4" a="1"/>
  <c r="U217" i="4" s="1"/>
  <c r="S217" i="4"/>
  <c r="T217" i="4" s="1"/>
  <c r="R217" i="4"/>
  <c r="Q217" i="4"/>
  <c r="P217" i="4"/>
  <c r="O217" i="4"/>
  <c r="N217" i="4"/>
  <c r="U216" i="4" a="1"/>
  <c r="U216" i="4" s="1"/>
  <c r="S216" i="4"/>
  <c r="T216" i="4" s="1"/>
  <c r="R216" i="4"/>
  <c r="Q216" i="4"/>
  <c r="P216" i="4"/>
  <c r="O216" i="4"/>
  <c r="N216" i="4"/>
  <c r="U215" i="4" a="1"/>
  <c r="U215" i="4"/>
  <c r="T215" i="4"/>
  <c r="S215" i="4"/>
  <c r="R215" i="4"/>
  <c r="Q215" i="4"/>
  <c r="P215" i="4"/>
  <c r="O215" i="4"/>
  <c r="N215" i="4"/>
  <c r="U214" i="4" a="1"/>
  <c r="U214" i="4"/>
  <c r="T214" i="4"/>
  <c r="S214" i="4"/>
  <c r="R214" i="4"/>
  <c r="Q214" i="4"/>
  <c r="P214" i="4"/>
  <c r="O214" i="4"/>
  <c r="N214" i="4"/>
  <c r="U213" i="4" a="1"/>
  <c r="U213" i="4" s="1"/>
  <c r="S213" i="4"/>
  <c r="T213" i="4" s="1"/>
  <c r="R213" i="4"/>
  <c r="Q213" i="4"/>
  <c r="P213" i="4"/>
  <c r="O213" i="4"/>
  <c r="N213" i="4"/>
  <c r="U212" i="4" a="1"/>
  <c r="U212" i="4" s="1"/>
  <c r="S212" i="4"/>
  <c r="T212" i="4" s="1"/>
  <c r="R212" i="4"/>
  <c r="Q212" i="4"/>
  <c r="P212" i="4"/>
  <c r="O212" i="4"/>
  <c r="N212" i="4"/>
  <c r="U211" i="4" a="1"/>
  <c r="U211" i="4"/>
  <c r="T211" i="4"/>
  <c r="S211" i="4"/>
  <c r="R211" i="4"/>
  <c r="Q211" i="4"/>
  <c r="P211" i="4"/>
  <c r="O211" i="4"/>
  <c r="N211" i="4"/>
  <c r="U210" i="4" a="1"/>
  <c r="U210" i="4"/>
  <c r="T210" i="4"/>
  <c r="S210" i="4"/>
  <c r="R210" i="4"/>
  <c r="Q210" i="4"/>
  <c r="P210" i="4"/>
  <c r="O210" i="4"/>
  <c r="N210" i="4"/>
  <c r="U209" i="4" a="1"/>
  <c r="U209" i="4" s="1"/>
  <c r="S209" i="4"/>
  <c r="T209" i="4" s="1"/>
  <c r="R209" i="4"/>
  <c r="Q209" i="4"/>
  <c r="P209" i="4"/>
  <c r="O209" i="4"/>
  <c r="N209" i="4"/>
  <c r="U208" i="4" a="1"/>
  <c r="U208" i="4" s="1"/>
  <c r="S208" i="4"/>
  <c r="T208" i="4" s="1"/>
  <c r="R208" i="4"/>
  <c r="Q208" i="4"/>
  <c r="P208" i="4"/>
  <c r="O208" i="4"/>
  <c r="N208" i="4"/>
  <c r="U207" i="4" a="1"/>
  <c r="U207" i="4"/>
  <c r="T207" i="4"/>
  <c r="S207" i="4"/>
  <c r="R207" i="4"/>
  <c r="Q207" i="4"/>
  <c r="P207" i="4"/>
  <c r="O207" i="4"/>
  <c r="N207" i="4"/>
  <c r="U206" i="4" a="1"/>
  <c r="U206" i="4"/>
  <c r="T206" i="4"/>
  <c r="S206" i="4"/>
  <c r="R206" i="4"/>
  <c r="Q206" i="4"/>
  <c r="P206" i="4"/>
  <c r="O206" i="4"/>
  <c r="N206" i="4"/>
  <c r="U205" i="4" a="1"/>
  <c r="U205" i="4" s="1"/>
  <c r="S205" i="4"/>
  <c r="T205" i="4" s="1"/>
  <c r="R205" i="4"/>
  <c r="Q205" i="4"/>
  <c r="P205" i="4"/>
  <c r="O205" i="4"/>
  <c r="N205" i="4"/>
  <c r="U204" i="4" a="1"/>
  <c r="U204" i="4" s="1"/>
  <c r="T204" i="4"/>
  <c r="S204" i="4"/>
  <c r="R204" i="4"/>
  <c r="Q204" i="4"/>
  <c r="P204" i="4"/>
  <c r="O204" i="4"/>
  <c r="N204" i="4"/>
  <c r="U203" i="4" a="1"/>
  <c r="U203" i="4"/>
  <c r="T203" i="4"/>
  <c r="S203" i="4"/>
  <c r="R203" i="4"/>
  <c r="Q203" i="4"/>
  <c r="P203" i="4"/>
  <c r="O203" i="4"/>
  <c r="N203" i="4"/>
  <c r="U202" i="4" a="1"/>
  <c r="U202" i="4" s="1"/>
  <c r="T202" i="4"/>
  <c r="S202" i="4"/>
  <c r="R202" i="4"/>
  <c r="Q202" i="4"/>
  <c r="P202" i="4"/>
  <c r="O202" i="4"/>
  <c r="N202" i="4"/>
  <c r="U201" i="4" a="1"/>
  <c r="U201" i="4" s="1"/>
  <c r="S201" i="4"/>
  <c r="T201" i="4" s="1"/>
  <c r="R201" i="4"/>
  <c r="Q201" i="4"/>
  <c r="P201" i="4"/>
  <c r="O201" i="4"/>
  <c r="N201" i="4"/>
  <c r="U200" i="4" a="1"/>
  <c r="U200" i="4" s="1"/>
  <c r="S200" i="4"/>
  <c r="T200" i="4" s="1"/>
  <c r="R200" i="4"/>
  <c r="Q200" i="4"/>
  <c r="P200" i="4"/>
  <c r="O200" i="4"/>
  <c r="N200" i="4"/>
  <c r="U199" i="4" a="1"/>
  <c r="U199" i="4"/>
  <c r="T199" i="4"/>
  <c r="S199" i="4"/>
  <c r="R199" i="4"/>
  <c r="Q199" i="4"/>
  <c r="P199" i="4"/>
  <c r="O199" i="4"/>
  <c r="N199" i="4"/>
  <c r="U198" i="4" a="1"/>
  <c r="U198" i="4"/>
  <c r="T198" i="4"/>
  <c r="S198" i="4"/>
  <c r="R198" i="4"/>
  <c r="Q198" i="4"/>
  <c r="P198" i="4"/>
  <c r="O198" i="4"/>
  <c r="N198" i="4"/>
  <c r="U197" i="4" a="1"/>
  <c r="U197" i="4" s="1"/>
  <c r="S197" i="4"/>
  <c r="T197" i="4" s="1"/>
  <c r="R197" i="4"/>
  <c r="Q197" i="4"/>
  <c r="P197" i="4"/>
  <c r="O197" i="4"/>
  <c r="N197" i="4"/>
  <c r="U196" i="4" a="1"/>
  <c r="U196" i="4" s="1"/>
  <c r="S196" i="4"/>
  <c r="T196" i="4" s="1"/>
  <c r="R196" i="4"/>
  <c r="Q196" i="4"/>
  <c r="P196" i="4"/>
  <c r="O196" i="4"/>
  <c r="N196" i="4"/>
  <c r="U195" i="4" a="1"/>
  <c r="U195" i="4"/>
  <c r="T195" i="4"/>
  <c r="S195" i="4"/>
  <c r="R195" i="4"/>
  <c r="Q195" i="4"/>
  <c r="P195" i="4"/>
  <c r="O195" i="4"/>
  <c r="N195" i="4"/>
  <c r="U194" i="4" a="1"/>
  <c r="U194" i="4"/>
  <c r="T194" i="4"/>
  <c r="S194" i="4"/>
  <c r="R194" i="4"/>
  <c r="Q194" i="4"/>
  <c r="P194" i="4"/>
  <c r="O194" i="4"/>
  <c r="N194" i="4"/>
  <c r="U193" i="4" a="1"/>
  <c r="U193" i="4" s="1"/>
  <c r="S193" i="4"/>
  <c r="T193" i="4" s="1"/>
  <c r="R193" i="4"/>
  <c r="Q193" i="4"/>
  <c r="P193" i="4"/>
  <c r="O193" i="4"/>
  <c r="N193" i="4"/>
  <c r="U192" i="4" a="1"/>
  <c r="U192" i="4" s="1"/>
  <c r="S192" i="4"/>
  <c r="T192" i="4" s="1"/>
  <c r="R192" i="4"/>
  <c r="Q192" i="4"/>
  <c r="P192" i="4"/>
  <c r="O192" i="4"/>
  <c r="N192" i="4"/>
  <c r="U191" i="4" a="1"/>
  <c r="U191" i="4"/>
  <c r="T191" i="4"/>
  <c r="S191" i="4"/>
  <c r="R191" i="4"/>
  <c r="Q191" i="4"/>
  <c r="P191" i="4"/>
  <c r="O191" i="4"/>
  <c r="N191" i="4"/>
  <c r="U190" i="4" a="1"/>
  <c r="U190" i="4"/>
  <c r="T190" i="4"/>
  <c r="S190" i="4"/>
  <c r="R190" i="4"/>
  <c r="Q190" i="4"/>
  <c r="P190" i="4"/>
  <c r="O190" i="4"/>
  <c r="N190" i="4"/>
  <c r="U189" i="4" a="1"/>
  <c r="U189" i="4" s="1"/>
  <c r="S189" i="4"/>
  <c r="T189" i="4" s="1"/>
  <c r="R189" i="4"/>
  <c r="Q189" i="4"/>
  <c r="P189" i="4"/>
  <c r="O189" i="4"/>
  <c r="N189" i="4"/>
  <c r="U188" i="4" a="1"/>
  <c r="U188" i="4" s="1"/>
  <c r="T188" i="4"/>
  <c r="S188" i="4"/>
  <c r="R188" i="4"/>
  <c r="Q188" i="4"/>
  <c r="P188" i="4"/>
  <c r="O188" i="4"/>
  <c r="N188" i="4"/>
  <c r="U187" i="4" a="1"/>
  <c r="U187" i="4"/>
  <c r="T187" i="4"/>
  <c r="S187" i="4"/>
  <c r="R187" i="4"/>
  <c r="Q187" i="4"/>
  <c r="P187" i="4"/>
  <c r="O187" i="4"/>
  <c r="N187" i="4"/>
  <c r="U186" i="4" a="1"/>
  <c r="U186" i="4" s="1"/>
  <c r="T186" i="4"/>
  <c r="S186" i="4"/>
  <c r="R186" i="4"/>
  <c r="Q186" i="4"/>
  <c r="P186" i="4"/>
  <c r="O186" i="4"/>
  <c r="N186" i="4"/>
  <c r="U185" i="4" a="1"/>
  <c r="U185" i="4" s="1"/>
  <c r="S185" i="4"/>
  <c r="T185" i="4" s="1"/>
  <c r="R185" i="4"/>
  <c r="Q185" i="4"/>
  <c r="P185" i="4"/>
  <c r="O185" i="4"/>
  <c r="N185" i="4"/>
  <c r="U184" i="4" a="1"/>
  <c r="U184" i="4" s="1"/>
  <c r="S184" i="4"/>
  <c r="T184" i="4" s="1"/>
  <c r="R184" i="4"/>
  <c r="Q184" i="4"/>
  <c r="P184" i="4"/>
  <c r="O184" i="4"/>
  <c r="N184" i="4"/>
  <c r="U183" i="4" a="1"/>
  <c r="U183" i="4"/>
  <c r="T183" i="4"/>
  <c r="S183" i="4"/>
  <c r="R183" i="4"/>
  <c r="Q183" i="4"/>
  <c r="P183" i="4"/>
  <c r="O183" i="4"/>
  <c r="N183" i="4"/>
  <c r="U182" i="4" a="1"/>
  <c r="U182" i="4"/>
  <c r="T182" i="4"/>
  <c r="S182" i="4"/>
  <c r="R182" i="4"/>
  <c r="Q182" i="4"/>
  <c r="P182" i="4"/>
  <c r="O182" i="4"/>
  <c r="N182" i="4"/>
  <c r="U181" i="4" a="1"/>
  <c r="U181" i="4" s="1"/>
  <c r="S181" i="4"/>
  <c r="T181" i="4" s="1"/>
  <c r="R181" i="4"/>
  <c r="Q181" i="4"/>
  <c r="P181" i="4"/>
  <c r="O181" i="4"/>
  <c r="N181" i="4"/>
  <c r="U180" i="4" a="1"/>
  <c r="U180" i="4" s="1"/>
  <c r="S180" i="4"/>
  <c r="T180" i="4" s="1"/>
  <c r="R180" i="4"/>
  <c r="Q180" i="4"/>
  <c r="P180" i="4"/>
  <c r="O180" i="4"/>
  <c r="N180" i="4"/>
  <c r="U179" i="4" a="1"/>
  <c r="U179" i="4"/>
  <c r="T179" i="4"/>
  <c r="S179" i="4"/>
  <c r="R179" i="4"/>
  <c r="Q179" i="4"/>
  <c r="P179" i="4"/>
  <c r="O179" i="4"/>
  <c r="N179" i="4"/>
  <c r="U178" i="4" a="1"/>
  <c r="U178" i="4"/>
  <c r="T178" i="4"/>
  <c r="S178" i="4"/>
  <c r="R178" i="4"/>
  <c r="Q178" i="4"/>
  <c r="P178" i="4"/>
  <c r="O178" i="4"/>
  <c r="N178" i="4"/>
  <c r="U177" i="4" a="1"/>
  <c r="U177" i="4" s="1"/>
  <c r="S177" i="4"/>
  <c r="T177" i="4" s="1"/>
  <c r="R177" i="4"/>
  <c r="Q177" i="4"/>
  <c r="P177" i="4"/>
  <c r="O177" i="4"/>
  <c r="N177" i="4"/>
  <c r="U176" i="4" a="1"/>
  <c r="U176" i="4" s="1"/>
  <c r="S176" i="4"/>
  <c r="T176" i="4" s="1"/>
  <c r="R176" i="4"/>
  <c r="Q176" i="4"/>
  <c r="P176" i="4"/>
  <c r="O176" i="4"/>
  <c r="N176" i="4"/>
  <c r="U175" i="4" a="1"/>
  <c r="U175" i="4"/>
  <c r="T175" i="4"/>
  <c r="S175" i="4"/>
  <c r="R175" i="4"/>
  <c r="Q175" i="4"/>
  <c r="P175" i="4"/>
  <c r="O175" i="4"/>
  <c r="N175" i="4"/>
  <c r="U174" i="4" a="1"/>
  <c r="U174" i="4"/>
  <c r="T174" i="4"/>
  <c r="S174" i="4"/>
  <c r="R174" i="4"/>
  <c r="Q174" i="4"/>
  <c r="P174" i="4"/>
  <c r="O174" i="4"/>
  <c r="N174" i="4"/>
  <c r="U173" i="4" a="1"/>
  <c r="U173" i="4" s="1"/>
  <c r="S173" i="4"/>
  <c r="T173" i="4" s="1"/>
  <c r="R173" i="4"/>
  <c r="Q173" i="4"/>
  <c r="P173" i="4"/>
  <c r="O173" i="4"/>
  <c r="N173" i="4"/>
  <c r="U172" i="4" a="1"/>
  <c r="U172" i="4" s="1"/>
  <c r="T172" i="4"/>
  <c r="S172" i="4"/>
  <c r="R172" i="4"/>
  <c r="Q172" i="4"/>
  <c r="P172" i="4"/>
  <c r="O172" i="4"/>
  <c r="N172" i="4"/>
  <c r="U171" i="4" a="1"/>
  <c r="U171" i="4"/>
  <c r="T171" i="4"/>
  <c r="S171" i="4"/>
  <c r="R171" i="4"/>
  <c r="Q171" i="4"/>
  <c r="P171" i="4"/>
  <c r="O171" i="4"/>
  <c r="N171" i="4"/>
  <c r="U170" i="4" a="1"/>
  <c r="U170" i="4" s="1"/>
  <c r="T170" i="4"/>
  <c r="S170" i="4"/>
  <c r="R170" i="4"/>
  <c r="Q170" i="4"/>
  <c r="P170" i="4"/>
  <c r="O170" i="4"/>
  <c r="N170" i="4"/>
  <c r="U169" i="4" a="1"/>
  <c r="U169" i="4" s="1"/>
  <c r="S169" i="4"/>
  <c r="T169" i="4" s="1"/>
  <c r="R169" i="4"/>
  <c r="Q169" i="4"/>
  <c r="P169" i="4"/>
  <c r="O169" i="4"/>
  <c r="N169" i="4"/>
  <c r="U168" i="4" a="1"/>
  <c r="U168" i="4" s="1"/>
  <c r="S168" i="4"/>
  <c r="T168" i="4" s="1"/>
  <c r="R168" i="4"/>
  <c r="Q168" i="4"/>
  <c r="P168" i="4"/>
  <c r="O168" i="4"/>
  <c r="N168" i="4"/>
  <c r="U167" i="4" a="1"/>
  <c r="U167" i="4"/>
  <c r="T167" i="4"/>
  <c r="S167" i="4"/>
  <c r="R167" i="4"/>
  <c r="Q167" i="4"/>
  <c r="P167" i="4"/>
  <c r="O167" i="4"/>
  <c r="N167" i="4"/>
  <c r="U166" i="4" a="1"/>
  <c r="U166" i="4"/>
  <c r="T166" i="4"/>
  <c r="S166" i="4"/>
  <c r="R166" i="4"/>
  <c r="Q166" i="4"/>
  <c r="P166" i="4"/>
  <c r="O166" i="4"/>
  <c r="N166" i="4"/>
  <c r="U165" i="4" a="1"/>
  <c r="U165" i="4" s="1"/>
  <c r="S165" i="4"/>
  <c r="T165" i="4" s="1"/>
  <c r="R165" i="4"/>
  <c r="Q165" i="4"/>
  <c r="P165" i="4"/>
  <c r="O165" i="4"/>
  <c r="N165" i="4"/>
  <c r="U164" i="4" a="1"/>
  <c r="U164" i="4" s="1"/>
  <c r="S164" i="4"/>
  <c r="T164" i="4" s="1"/>
  <c r="R164" i="4"/>
  <c r="Q164" i="4"/>
  <c r="P164" i="4"/>
  <c r="O164" i="4"/>
  <c r="N164" i="4"/>
  <c r="U163" i="4" a="1"/>
  <c r="U163" i="4"/>
  <c r="T163" i="4"/>
  <c r="S163" i="4"/>
  <c r="R163" i="4"/>
  <c r="Q163" i="4"/>
  <c r="P163" i="4"/>
  <c r="O163" i="4"/>
  <c r="N163" i="4"/>
  <c r="U162" i="4" a="1"/>
  <c r="U162" i="4"/>
  <c r="T162" i="4"/>
  <c r="S162" i="4"/>
  <c r="R162" i="4"/>
  <c r="Q162" i="4"/>
  <c r="P162" i="4"/>
  <c r="O162" i="4"/>
  <c r="N162" i="4"/>
  <c r="U161" i="4" a="1"/>
  <c r="U161" i="4" s="1"/>
  <c r="S161" i="4"/>
  <c r="T161" i="4" s="1"/>
  <c r="R161" i="4"/>
  <c r="Q161" i="4"/>
  <c r="P161" i="4"/>
  <c r="O161" i="4"/>
  <c r="N161" i="4"/>
  <c r="U160" i="4" a="1"/>
  <c r="U160" i="4" s="1"/>
  <c r="S160" i="4"/>
  <c r="T160" i="4" s="1"/>
  <c r="R160" i="4"/>
  <c r="Q160" i="4"/>
  <c r="P160" i="4"/>
  <c r="O160" i="4"/>
  <c r="N160" i="4"/>
  <c r="U159" i="4" a="1"/>
  <c r="U159" i="4"/>
  <c r="T159" i="4"/>
  <c r="S159" i="4"/>
  <c r="R159" i="4"/>
  <c r="Q159" i="4"/>
  <c r="P159" i="4"/>
  <c r="O159" i="4"/>
  <c r="N159" i="4"/>
  <c r="U158" i="4" a="1"/>
  <c r="U158" i="4"/>
  <c r="T158" i="4"/>
  <c r="S158" i="4"/>
  <c r="R158" i="4"/>
  <c r="Q158" i="4"/>
  <c r="P158" i="4"/>
  <c r="O158" i="4"/>
  <c r="N158" i="4"/>
  <c r="U157" i="4" a="1"/>
  <c r="U157" i="4" s="1"/>
  <c r="S157" i="4"/>
  <c r="T157" i="4" s="1"/>
  <c r="R157" i="4"/>
  <c r="Q157" i="4"/>
  <c r="P157" i="4"/>
  <c r="O157" i="4"/>
  <c r="N157" i="4"/>
  <c r="U156" i="4" a="1"/>
  <c r="U156" i="4" s="1"/>
  <c r="T156" i="4"/>
  <c r="S156" i="4"/>
  <c r="R156" i="4"/>
  <c r="Q156" i="4"/>
  <c r="P156" i="4"/>
  <c r="O156" i="4"/>
  <c r="N156" i="4"/>
  <c r="U155" i="4" a="1"/>
  <c r="U155" i="4"/>
  <c r="T155" i="4"/>
  <c r="S155" i="4"/>
  <c r="R155" i="4"/>
  <c r="Q155" i="4"/>
  <c r="P155" i="4"/>
  <c r="O155" i="4"/>
  <c r="N155" i="4"/>
  <c r="U154" i="4" a="1"/>
  <c r="U154" i="4" s="1"/>
  <c r="T154" i="4"/>
  <c r="S154" i="4"/>
  <c r="R154" i="4"/>
  <c r="Q154" i="4"/>
  <c r="P154" i="4"/>
  <c r="O154" i="4"/>
  <c r="N154" i="4"/>
  <c r="U153" i="4" a="1"/>
  <c r="U153" i="4" s="1"/>
  <c r="S153" i="4"/>
  <c r="T153" i="4" s="1"/>
  <c r="R153" i="4"/>
  <c r="Q153" i="4"/>
  <c r="P153" i="4"/>
  <c r="O153" i="4"/>
  <c r="N153" i="4"/>
  <c r="U152" i="4" a="1"/>
  <c r="U152" i="4" s="1"/>
  <c r="S152" i="4"/>
  <c r="T152" i="4" s="1"/>
  <c r="R152" i="4"/>
  <c r="Q152" i="4"/>
  <c r="P152" i="4"/>
  <c r="O152" i="4"/>
  <c r="N152" i="4"/>
  <c r="U151" i="4" a="1"/>
  <c r="U151" i="4"/>
  <c r="T151" i="4"/>
  <c r="S151" i="4"/>
  <c r="R151" i="4"/>
  <c r="Q151" i="4"/>
  <c r="P151" i="4"/>
  <c r="O151" i="4"/>
  <c r="N151" i="4"/>
  <c r="U150" i="4" a="1"/>
  <c r="U150" i="4"/>
  <c r="T150" i="4"/>
  <c r="S150" i="4"/>
  <c r="R150" i="4"/>
  <c r="Q150" i="4"/>
  <c r="P150" i="4"/>
  <c r="O150" i="4"/>
  <c r="N150" i="4"/>
  <c r="U149" i="4" a="1"/>
  <c r="U149" i="4" s="1"/>
  <c r="S149" i="4"/>
  <c r="T149" i="4" s="1"/>
  <c r="R149" i="4"/>
  <c r="Q149" i="4"/>
  <c r="P149" i="4"/>
  <c r="O149" i="4"/>
  <c r="N149" i="4"/>
  <c r="U148" i="4" a="1"/>
  <c r="U148" i="4" s="1"/>
  <c r="S148" i="4"/>
  <c r="T148" i="4" s="1"/>
  <c r="R148" i="4"/>
  <c r="Q148" i="4"/>
  <c r="P148" i="4"/>
  <c r="O148" i="4"/>
  <c r="N148" i="4"/>
  <c r="U147" i="4" a="1"/>
  <c r="U147" i="4"/>
  <c r="T147" i="4"/>
  <c r="S147" i="4"/>
  <c r="R147" i="4"/>
  <c r="Q147" i="4"/>
  <c r="P147" i="4"/>
  <c r="O147" i="4"/>
  <c r="N147" i="4"/>
  <c r="U146" i="4" a="1"/>
  <c r="U146" i="4"/>
  <c r="T146" i="4"/>
  <c r="S146" i="4"/>
  <c r="R146" i="4"/>
  <c r="Q146" i="4"/>
  <c r="P146" i="4"/>
  <c r="O146" i="4"/>
  <c r="N146" i="4"/>
  <c r="U145" i="4" a="1"/>
  <c r="U145" i="4" s="1"/>
  <c r="S145" i="4"/>
  <c r="T145" i="4" s="1"/>
  <c r="R145" i="4"/>
  <c r="Q145" i="4"/>
  <c r="P145" i="4"/>
  <c r="O145" i="4"/>
  <c r="N145" i="4"/>
  <c r="U144" i="4" a="1"/>
  <c r="U144" i="4" s="1"/>
  <c r="S144" i="4"/>
  <c r="T144" i="4" s="1"/>
  <c r="R144" i="4"/>
  <c r="Q144" i="4"/>
  <c r="P144" i="4"/>
  <c r="O144" i="4"/>
  <c r="N144" i="4"/>
  <c r="U143" i="4" a="1"/>
  <c r="U143" i="4"/>
  <c r="T143" i="4"/>
  <c r="S143" i="4"/>
  <c r="R143" i="4"/>
  <c r="Q143" i="4"/>
  <c r="P143" i="4"/>
  <c r="O143" i="4"/>
  <c r="N143" i="4"/>
  <c r="U142" i="4" a="1"/>
  <c r="U142" i="4"/>
  <c r="T142" i="4"/>
  <c r="S142" i="4"/>
  <c r="R142" i="4"/>
  <c r="Q142" i="4"/>
  <c r="P142" i="4"/>
  <c r="O142" i="4"/>
  <c r="N142" i="4"/>
  <c r="U141" i="4" a="1"/>
  <c r="U141" i="4" s="1"/>
  <c r="S141" i="4"/>
  <c r="T141" i="4" s="1"/>
  <c r="R141" i="4"/>
  <c r="Q141" i="4"/>
  <c r="P141" i="4"/>
  <c r="O141" i="4"/>
  <c r="N141" i="4"/>
  <c r="U140" i="4" a="1"/>
  <c r="U140" i="4" s="1"/>
  <c r="T140" i="4"/>
  <c r="S140" i="4"/>
  <c r="R140" i="4"/>
  <c r="Q140" i="4"/>
  <c r="P140" i="4"/>
  <c r="O140" i="4"/>
  <c r="N140" i="4"/>
  <c r="U139" i="4" a="1"/>
  <c r="U139" i="4"/>
  <c r="T139" i="4"/>
  <c r="S139" i="4"/>
  <c r="R139" i="4"/>
  <c r="Q139" i="4"/>
  <c r="P139" i="4"/>
  <c r="O139" i="4"/>
  <c r="N139" i="4"/>
  <c r="U138" i="4" a="1"/>
  <c r="U138" i="4" s="1"/>
  <c r="T138" i="4"/>
  <c r="S138" i="4"/>
  <c r="R138" i="4"/>
  <c r="Q138" i="4"/>
  <c r="P138" i="4"/>
  <c r="O138" i="4"/>
  <c r="N138" i="4"/>
  <c r="U137" i="4" a="1"/>
  <c r="U137" i="4" s="1"/>
  <c r="S137" i="4"/>
  <c r="T137" i="4" s="1"/>
  <c r="R137" i="4"/>
  <c r="Q137" i="4"/>
  <c r="P137" i="4"/>
  <c r="O137" i="4"/>
  <c r="N137" i="4"/>
  <c r="U136" i="4" a="1"/>
  <c r="U136" i="4" s="1"/>
  <c r="S136" i="4"/>
  <c r="T136" i="4" s="1"/>
  <c r="R136" i="4"/>
  <c r="Q136" i="4"/>
  <c r="P136" i="4"/>
  <c r="O136" i="4"/>
  <c r="N136" i="4"/>
  <c r="U135" i="4" a="1"/>
  <c r="U135" i="4"/>
  <c r="T135" i="4"/>
  <c r="S135" i="4"/>
  <c r="R135" i="4"/>
  <c r="Q135" i="4"/>
  <c r="P135" i="4"/>
  <c r="O135" i="4"/>
  <c r="N135" i="4"/>
  <c r="U134" i="4" a="1"/>
  <c r="U134" i="4"/>
  <c r="T134" i="4"/>
  <c r="S134" i="4"/>
  <c r="R134" i="4"/>
  <c r="Q134" i="4"/>
  <c r="P134" i="4"/>
  <c r="O134" i="4"/>
  <c r="N134" i="4"/>
  <c r="U133" i="4" a="1"/>
  <c r="U133" i="4" s="1"/>
  <c r="S133" i="4"/>
  <c r="T133" i="4" s="1"/>
  <c r="R133" i="4"/>
  <c r="Q133" i="4"/>
  <c r="P133" i="4"/>
  <c r="O133" i="4"/>
  <c r="N133" i="4"/>
  <c r="U132" i="4" a="1"/>
  <c r="U132" i="4" s="1"/>
  <c r="S132" i="4"/>
  <c r="T132" i="4" s="1"/>
  <c r="R132" i="4"/>
  <c r="Q132" i="4"/>
  <c r="P132" i="4"/>
  <c r="O132" i="4"/>
  <c r="N132" i="4"/>
  <c r="U131" i="4" a="1"/>
  <c r="U131" i="4"/>
  <c r="T131" i="4"/>
  <c r="S131" i="4"/>
  <c r="R131" i="4"/>
  <c r="Q131" i="4"/>
  <c r="P131" i="4"/>
  <c r="O131" i="4"/>
  <c r="N131" i="4"/>
  <c r="U130" i="4" a="1"/>
  <c r="U130" i="4"/>
  <c r="T130" i="4"/>
  <c r="S130" i="4"/>
  <c r="R130" i="4"/>
  <c r="Q130" i="4"/>
  <c r="P130" i="4"/>
  <c r="O130" i="4"/>
  <c r="N130" i="4"/>
  <c r="U129" i="4" a="1"/>
  <c r="U129" i="4" s="1"/>
  <c r="S129" i="4"/>
  <c r="T129" i="4" s="1"/>
  <c r="R129" i="4"/>
  <c r="Q129" i="4"/>
  <c r="P129" i="4"/>
  <c r="O129" i="4"/>
  <c r="N129" i="4"/>
  <c r="U128" i="4" a="1"/>
  <c r="U128" i="4" s="1"/>
  <c r="S128" i="4"/>
  <c r="T128" i="4" s="1"/>
  <c r="R128" i="4"/>
  <c r="Q128" i="4"/>
  <c r="P128" i="4"/>
  <c r="O128" i="4"/>
  <c r="N128" i="4"/>
  <c r="U127" i="4" a="1"/>
  <c r="U127" i="4"/>
  <c r="T127" i="4"/>
  <c r="S127" i="4"/>
  <c r="R127" i="4"/>
  <c r="Q127" i="4"/>
  <c r="P127" i="4"/>
  <c r="O127" i="4"/>
  <c r="N127" i="4"/>
  <c r="U126" i="4" a="1"/>
  <c r="U126" i="4"/>
  <c r="T126" i="4"/>
  <c r="S126" i="4"/>
  <c r="R126" i="4"/>
  <c r="Q126" i="4"/>
  <c r="P126" i="4"/>
  <c r="O126" i="4"/>
  <c r="N126" i="4"/>
  <c r="U125" i="4" a="1"/>
  <c r="U125" i="4" s="1"/>
  <c r="S125" i="4"/>
  <c r="T125" i="4" s="1"/>
  <c r="R125" i="4"/>
  <c r="Q125" i="4"/>
  <c r="P125" i="4"/>
  <c r="O125" i="4"/>
  <c r="N125" i="4"/>
  <c r="U124" i="4" a="1"/>
  <c r="U124" i="4"/>
  <c r="S124" i="4"/>
  <c r="T124" i="4" s="1"/>
  <c r="R124" i="4"/>
  <c r="Q124" i="4"/>
  <c r="P124" i="4"/>
  <c r="O124" i="4"/>
  <c r="N124" i="4"/>
  <c r="U123" i="4" a="1"/>
  <c r="U123" i="4"/>
  <c r="T123" i="4"/>
  <c r="S123" i="4"/>
  <c r="R123" i="4"/>
  <c r="Q123" i="4"/>
  <c r="P123" i="4"/>
  <c r="O123" i="4"/>
  <c r="N123" i="4"/>
  <c r="U122" i="4" a="1"/>
  <c r="U122" i="4"/>
  <c r="S122" i="4"/>
  <c r="T122" i="4" s="1"/>
  <c r="R122" i="4"/>
  <c r="Q122" i="4"/>
  <c r="P122" i="4"/>
  <c r="O122" i="4"/>
  <c r="N122" i="4"/>
  <c r="U121" i="4" a="1"/>
  <c r="U121" i="4" s="1"/>
  <c r="S121" i="4"/>
  <c r="T121" i="4" s="1"/>
  <c r="R121" i="4"/>
  <c r="Q121" i="4"/>
  <c r="P121" i="4"/>
  <c r="O121" i="4"/>
  <c r="N121" i="4"/>
  <c r="U120" i="4" a="1"/>
  <c r="U120" i="4"/>
  <c r="S120" i="4"/>
  <c r="T120" i="4" s="1"/>
  <c r="R120" i="4"/>
  <c r="Q120" i="4"/>
  <c r="P120" i="4"/>
  <c r="O120" i="4"/>
  <c r="N120" i="4"/>
  <c r="U119" i="4" a="1"/>
  <c r="U119" i="4"/>
  <c r="T119" i="4"/>
  <c r="S119" i="4"/>
  <c r="R119" i="4"/>
  <c r="Q119" i="4"/>
  <c r="P119" i="4"/>
  <c r="O119" i="4"/>
  <c r="N119" i="4"/>
  <c r="U118" i="4" a="1"/>
  <c r="U118" i="4"/>
  <c r="S118" i="4"/>
  <c r="T118" i="4" s="1"/>
  <c r="R118" i="4"/>
  <c r="Q118" i="4"/>
  <c r="P118" i="4"/>
  <c r="O118" i="4"/>
  <c r="N118" i="4"/>
  <c r="U117" i="4" a="1"/>
  <c r="U117" i="4" s="1"/>
  <c r="S117" i="4"/>
  <c r="T117" i="4" s="1"/>
  <c r="R117" i="4"/>
  <c r="Q117" i="4"/>
  <c r="P117" i="4"/>
  <c r="O117" i="4"/>
  <c r="N117" i="4"/>
  <c r="U116" i="4" a="1"/>
  <c r="U116" i="4"/>
  <c r="S116" i="4"/>
  <c r="T116" i="4" s="1"/>
  <c r="R116" i="4"/>
  <c r="Q116" i="4"/>
  <c r="P116" i="4"/>
  <c r="O116" i="4"/>
  <c r="N116" i="4"/>
  <c r="U115" i="4" a="1"/>
  <c r="U115" i="4"/>
  <c r="T115" i="4"/>
  <c r="S115" i="4"/>
  <c r="R115" i="4"/>
  <c r="Q115" i="4"/>
  <c r="P115" i="4"/>
  <c r="O115" i="4"/>
  <c r="N115" i="4"/>
  <c r="U114" i="4" a="1"/>
  <c r="U114" i="4"/>
  <c r="S114" i="4"/>
  <c r="T114" i="4" s="1"/>
  <c r="R114" i="4"/>
  <c r="Q114" i="4"/>
  <c r="P114" i="4"/>
  <c r="O114" i="4"/>
  <c r="N114" i="4"/>
  <c r="U113" i="4" a="1"/>
  <c r="U113" i="4" s="1"/>
  <c r="S113" i="4"/>
  <c r="T113" i="4" s="1"/>
  <c r="R113" i="4"/>
  <c r="Q113" i="4"/>
  <c r="P113" i="4"/>
  <c r="O113" i="4"/>
  <c r="N113" i="4"/>
  <c r="U112" i="4" a="1"/>
  <c r="U112" i="4" s="1"/>
  <c r="S112" i="4"/>
  <c r="T112" i="4" s="1"/>
  <c r="R112" i="4"/>
  <c r="Q112" i="4"/>
  <c r="P112" i="4"/>
  <c r="O112" i="4"/>
  <c r="N112" i="4"/>
  <c r="U111" i="4" a="1"/>
  <c r="U111" i="4"/>
  <c r="T111" i="4"/>
  <c r="S111" i="4"/>
  <c r="R111" i="4"/>
  <c r="Q111" i="4"/>
  <c r="P111" i="4"/>
  <c r="O111" i="4"/>
  <c r="N111" i="4"/>
  <c r="U110" i="4" a="1"/>
  <c r="U110" i="4"/>
  <c r="S110" i="4"/>
  <c r="T110" i="4" s="1"/>
  <c r="R110" i="4"/>
  <c r="Q110" i="4"/>
  <c r="P110" i="4"/>
  <c r="O110" i="4"/>
  <c r="N110" i="4"/>
  <c r="U109" i="4" a="1"/>
  <c r="U109" i="4" s="1"/>
  <c r="S109" i="4"/>
  <c r="T109" i="4" s="1"/>
  <c r="R109" i="4"/>
  <c r="Q109" i="4"/>
  <c r="P109" i="4"/>
  <c r="O109" i="4"/>
  <c r="N109" i="4"/>
  <c r="U108" i="4" a="1"/>
  <c r="U108" i="4" s="1"/>
  <c r="S108" i="4"/>
  <c r="T108" i="4" s="1"/>
  <c r="R108" i="4"/>
  <c r="Q108" i="4"/>
  <c r="P108" i="4"/>
  <c r="O108" i="4"/>
  <c r="N108" i="4"/>
  <c r="U107" i="4" a="1"/>
  <c r="U107" i="4"/>
  <c r="T107" i="4"/>
  <c r="S107" i="4"/>
  <c r="R107" i="4"/>
  <c r="Q107" i="4"/>
  <c r="P107" i="4"/>
  <c r="O107" i="4"/>
  <c r="N107" i="4"/>
  <c r="U106" i="4" a="1"/>
  <c r="U106" i="4"/>
  <c r="T106" i="4"/>
  <c r="S106" i="4"/>
  <c r="R106" i="4"/>
  <c r="Q106" i="4"/>
  <c r="P106" i="4"/>
  <c r="O106" i="4"/>
  <c r="N106" i="4"/>
  <c r="U105" i="4" a="1"/>
  <c r="U105" i="4" s="1"/>
  <c r="S105" i="4"/>
  <c r="T105" i="4" s="1"/>
  <c r="R105" i="4"/>
  <c r="Q105" i="4"/>
  <c r="P105" i="4"/>
  <c r="O105" i="4"/>
  <c r="N105" i="4"/>
  <c r="U104" i="4" a="1"/>
  <c r="U104" i="4" s="1"/>
  <c r="S104" i="4"/>
  <c r="T104" i="4" s="1"/>
  <c r="R104" i="4"/>
  <c r="Q104" i="4"/>
  <c r="P104" i="4"/>
  <c r="O104" i="4"/>
  <c r="N104" i="4"/>
  <c r="U103" i="4" a="1"/>
  <c r="U103" i="4"/>
  <c r="S103" i="4"/>
  <c r="T103" i="4" s="1"/>
  <c r="R103" i="4"/>
  <c r="Q103" i="4"/>
  <c r="P103" i="4"/>
  <c r="O103" i="4"/>
  <c r="N103" i="4"/>
  <c r="U102" i="4" a="1"/>
  <c r="U102" i="4"/>
  <c r="T102" i="4"/>
  <c r="S102" i="4"/>
  <c r="R102" i="4"/>
  <c r="Q102" i="4"/>
  <c r="P102" i="4"/>
  <c r="O102" i="4"/>
  <c r="N102" i="4"/>
  <c r="U101" i="4" a="1"/>
  <c r="U101" i="4"/>
  <c r="S101" i="4"/>
  <c r="T101" i="4" s="1"/>
  <c r="R101" i="4"/>
  <c r="Q101" i="4"/>
  <c r="P101" i="4"/>
  <c r="O101" i="4"/>
  <c r="N101" i="4"/>
  <c r="U100" i="4" a="1"/>
  <c r="U100" i="4" s="1"/>
  <c r="S100" i="4"/>
  <c r="T100" i="4" s="1"/>
  <c r="R100" i="4"/>
  <c r="Q100" i="4"/>
  <c r="P100" i="4"/>
  <c r="O100" i="4"/>
  <c r="N100" i="4"/>
  <c r="U99" i="4" a="1"/>
  <c r="U99" i="4"/>
  <c r="T99" i="4"/>
  <c r="S99" i="4"/>
  <c r="R99" i="4"/>
  <c r="Q99" i="4"/>
  <c r="P99" i="4"/>
  <c r="O99" i="4"/>
  <c r="N99" i="4"/>
  <c r="U98" i="4" a="1"/>
  <c r="U98" i="4"/>
  <c r="S98" i="4"/>
  <c r="T98" i="4" s="1"/>
  <c r="R98" i="4"/>
  <c r="Q98" i="4"/>
  <c r="P98" i="4"/>
  <c r="O98" i="4"/>
  <c r="N98" i="4"/>
  <c r="U97" i="4" a="1"/>
  <c r="U97" i="4" s="1"/>
  <c r="S97" i="4"/>
  <c r="T97" i="4" s="1"/>
  <c r="R97" i="4"/>
  <c r="Q97" i="4"/>
  <c r="P97" i="4"/>
  <c r="O97" i="4"/>
  <c r="N97" i="4"/>
  <c r="U96" i="4" a="1"/>
  <c r="U96" i="4"/>
  <c r="S96" i="4"/>
  <c r="T96" i="4" s="1"/>
  <c r="R96" i="4"/>
  <c r="Q96" i="4"/>
  <c r="P96" i="4"/>
  <c r="O96" i="4"/>
  <c r="N96" i="4"/>
  <c r="U95" i="4" a="1"/>
  <c r="U95" i="4"/>
  <c r="T95" i="4"/>
  <c r="S95" i="4"/>
  <c r="R95" i="4"/>
  <c r="Q95" i="4"/>
  <c r="P95" i="4"/>
  <c r="O95" i="4"/>
  <c r="N95" i="4"/>
  <c r="U94" i="4" a="1"/>
  <c r="U94" i="4"/>
  <c r="S94" i="4"/>
  <c r="T94" i="4" s="1"/>
  <c r="R94" i="4"/>
  <c r="Q94" i="4"/>
  <c r="P94" i="4"/>
  <c r="O94" i="4"/>
  <c r="N94" i="4"/>
  <c r="U93" i="4" a="1"/>
  <c r="U93" i="4" s="1"/>
  <c r="S93" i="4"/>
  <c r="T93" i="4" s="1"/>
  <c r="R93" i="4"/>
  <c r="Q93" i="4"/>
  <c r="P93" i="4"/>
  <c r="O93" i="4"/>
  <c r="N93" i="4"/>
  <c r="U92" i="4" a="1"/>
  <c r="U92" i="4"/>
  <c r="S92" i="4"/>
  <c r="T92" i="4" s="1"/>
  <c r="R92" i="4"/>
  <c r="Q92" i="4"/>
  <c r="P92" i="4"/>
  <c r="O92" i="4"/>
  <c r="N92" i="4"/>
  <c r="U91" i="4" a="1"/>
  <c r="U91" i="4"/>
  <c r="T91" i="4"/>
  <c r="S91" i="4"/>
  <c r="R91" i="4"/>
  <c r="Q91" i="4"/>
  <c r="P91" i="4"/>
  <c r="O91" i="4"/>
  <c r="N91" i="4"/>
  <c r="U90" i="4" a="1"/>
  <c r="U90" i="4"/>
  <c r="S90" i="4"/>
  <c r="T90" i="4" s="1"/>
  <c r="R90" i="4"/>
  <c r="Q90" i="4"/>
  <c r="P90" i="4"/>
  <c r="O90" i="4"/>
  <c r="N90" i="4"/>
  <c r="U89" i="4" a="1"/>
  <c r="U89" i="4" s="1"/>
  <c r="S89" i="4"/>
  <c r="T89" i="4" s="1"/>
  <c r="R89" i="4"/>
  <c r="Q89" i="4"/>
  <c r="P89" i="4"/>
  <c r="O89" i="4"/>
  <c r="N89" i="4"/>
  <c r="U88" i="4" a="1"/>
  <c r="U88" i="4"/>
  <c r="S88" i="4"/>
  <c r="T88" i="4" s="1"/>
  <c r="R88" i="4"/>
  <c r="Q88" i="4"/>
  <c r="P88" i="4"/>
  <c r="O88" i="4"/>
  <c r="N88" i="4"/>
  <c r="U87" i="4" a="1"/>
  <c r="U87" i="4"/>
  <c r="T87" i="4"/>
  <c r="S87" i="4"/>
  <c r="R87" i="4"/>
  <c r="Q87" i="4"/>
  <c r="P87" i="4"/>
  <c r="O87" i="4"/>
  <c r="N87" i="4"/>
  <c r="U86" i="4" a="1"/>
  <c r="U86" i="4"/>
  <c r="S86" i="4"/>
  <c r="T86" i="4" s="1"/>
  <c r="R86" i="4"/>
  <c r="Q86" i="4"/>
  <c r="P86" i="4"/>
  <c r="O86" i="4"/>
  <c r="N86" i="4"/>
  <c r="U85" i="4" a="1"/>
  <c r="U85" i="4" s="1"/>
  <c r="S85" i="4"/>
  <c r="T85" i="4" s="1"/>
  <c r="R85" i="4"/>
  <c r="Q85" i="4"/>
  <c r="P85" i="4"/>
  <c r="O85" i="4"/>
  <c r="N85" i="4"/>
  <c r="U84" i="4" a="1"/>
  <c r="U84" i="4"/>
  <c r="S84" i="4"/>
  <c r="T84" i="4" s="1"/>
  <c r="R84" i="4"/>
  <c r="Q84" i="4"/>
  <c r="P84" i="4"/>
  <c r="O84" i="4"/>
  <c r="N84" i="4"/>
  <c r="U83" i="4" a="1"/>
  <c r="U83" i="4"/>
  <c r="T83" i="4"/>
  <c r="S83" i="4"/>
  <c r="R83" i="4"/>
  <c r="Q83" i="4"/>
  <c r="P83" i="4"/>
  <c r="O83" i="4"/>
  <c r="N83" i="4"/>
  <c r="U82" i="4" a="1"/>
  <c r="U82" i="4"/>
  <c r="S82" i="4"/>
  <c r="T82" i="4" s="1"/>
  <c r="R82" i="4"/>
  <c r="Q82" i="4"/>
  <c r="P82" i="4"/>
  <c r="O82" i="4"/>
  <c r="N82" i="4"/>
  <c r="U81" i="4" a="1"/>
  <c r="U81" i="4" s="1"/>
  <c r="S81" i="4"/>
  <c r="T81" i="4" s="1"/>
  <c r="R81" i="4"/>
  <c r="Q81" i="4"/>
  <c r="P81" i="4"/>
  <c r="O81" i="4"/>
  <c r="N81" i="4"/>
  <c r="U80" i="4" a="1"/>
  <c r="U80" i="4"/>
  <c r="S80" i="4"/>
  <c r="T80" i="4" s="1"/>
  <c r="R80" i="4"/>
  <c r="Q80" i="4"/>
  <c r="P80" i="4"/>
  <c r="O80" i="4"/>
  <c r="N80" i="4"/>
  <c r="U79" i="4" a="1"/>
  <c r="U79" i="4"/>
  <c r="T79" i="4"/>
  <c r="S79" i="4"/>
  <c r="R79" i="4"/>
  <c r="Q79" i="4"/>
  <c r="P79" i="4"/>
  <c r="O79" i="4"/>
  <c r="N79" i="4"/>
  <c r="U78" i="4" a="1"/>
  <c r="U78" i="4"/>
  <c r="S78" i="4"/>
  <c r="T78" i="4" s="1"/>
  <c r="R78" i="4"/>
  <c r="Q78" i="4"/>
  <c r="P78" i="4"/>
  <c r="O78" i="4"/>
  <c r="N78" i="4"/>
  <c r="U77" i="4" a="1"/>
  <c r="U77" i="4" s="1"/>
  <c r="S77" i="4"/>
  <c r="T77" i="4" s="1"/>
  <c r="R77" i="4"/>
  <c r="Q77" i="4"/>
  <c r="P77" i="4"/>
  <c r="O77" i="4"/>
  <c r="N77" i="4"/>
  <c r="U76" i="4" a="1"/>
  <c r="U76" i="4"/>
  <c r="S76" i="4"/>
  <c r="T76" i="4" s="1"/>
  <c r="R76" i="4"/>
  <c r="Q76" i="4"/>
  <c r="P76" i="4"/>
  <c r="O76" i="4"/>
  <c r="N76" i="4"/>
  <c r="U75" i="4" a="1"/>
  <c r="U75" i="4"/>
  <c r="T75" i="4"/>
  <c r="S75" i="4"/>
  <c r="R75" i="4"/>
  <c r="Q75" i="4"/>
  <c r="P75" i="4"/>
  <c r="O75" i="4"/>
  <c r="N75" i="4"/>
  <c r="U74" i="4" a="1"/>
  <c r="U74" i="4"/>
  <c r="S74" i="4"/>
  <c r="T74" i="4" s="1"/>
  <c r="R74" i="4"/>
  <c r="Q74" i="4"/>
  <c r="P74" i="4"/>
  <c r="O74" i="4"/>
  <c r="N74" i="4"/>
  <c r="U73" i="4" a="1"/>
  <c r="U73" i="4" s="1"/>
  <c r="S73" i="4"/>
  <c r="T73" i="4" s="1"/>
  <c r="R73" i="4"/>
  <c r="Q73" i="4"/>
  <c r="P73" i="4"/>
  <c r="O73" i="4"/>
  <c r="N73" i="4"/>
  <c r="U72" i="4" a="1"/>
  <c r="U72" i="4"/>
  <c r="S72" i="4"/>
  <c r="T72" i="4" s="1"/>
  <c r="R72" i="4"/>
  <c r="Q72" i="4"/>
  <c r="P72" i="4"/>
  <c r="O72" i="4"/>
  <c r="N72" i="4"/>
  <c r="U71" i="4" a="1"/>
  <c r="U71" i="4"/>
  <c r="T71" i="4"/>
  <c r="S71" i="4"/>
  <c r="R71" i="4"/>
  <c r="Q71" i="4"/>
  <c r="P71" i="4"/>
  <c r="O71" i="4"/>
  <c r="N71" i="4"/>
  <c r="U70" i="4" a="1"/>
  <c r="U70" i="4"/>
  <c r="S70" i="4"/>
  <c r="T70" i="4" s="1"/>
  <c r="R70" i="4"/>
  <c r="Q70" i="4"/>
  <c r="P70" i="4"/>
  <c r="O70" i="4"/>
  <c r="N70" i="4"/>
  <c r="U69" i="4" a="1"/>
  <c r="U69" i="4" s="1"/>
  <c r="S69" i="4"/>
  <c r="T69" i="4" s="1"/>
  <c r="R69" i="4"/>
  <c r="Q69" i="4"/>
  <c r="P69" i="4"/>
  <c r="O69" i="4"/>
  <c r="N69" i="4"/>
  <c r="U68" i="4" a="1"/>
  <c r="U68" i="4"/>
  <c r="S68" i="4"/>
  <c r="T68" i="4" s="1"/>
  <c r="R68" i="4"/>
  <c r="Q68" i="4"/>
  <c r="P68" i="4"/>
  <c r="O68" i="4"/>
  <c r="N68" i="4"/>
  <c r="U67" i="4" a="1"/>
  <c r="U67" i="4"/>
  <c r="T67" i="4"/>
  <c r="S67" i="4"/>
  <c r="R67" i="4"/>
  <c r="Q67" i="4"/>
  <c r="P67" i="4"/>
  <c r="O67" i="4"/>
  <c r="N67" i="4"/>
  <c r="U66" i="4" a="1"/>
  <c r="U66" i="4"/>
  <c r="S66" i="4"/>
  <c r="T66" i="4" s="1"/>
  <c r="R66" i="4"/>
  <c r="Q66" i="4"/>
  <c r="P66" i="4"/>
  <c r="O66" i="4"/>
  <c r="N66" i="4"/>
  <c r="U65" i="4" a="1"/>
  <c r="U65" i="4" s="1"/>
  <c r="S65" i="4"/>
  <c r="T65" i="4" s="1"/>
  <c r="R65" i="4"/>
  <c r="Q65" i="4"/>
  <c r="P65" i="4"/>
  <c r="O65" i="4"/>
  <c r="N65" i="4"/>
  <c r="U64" i="4" a="1"/>
  <c r="U64" i="4"/>
  <c r="S64" i="4"/>
  <c r="T64" i="4" s="1"/>
  <c r="R64" i="4"/>
  <c r="Q64" i="4"/>
  <c r="P64" i="4"/>
  <c r="O64" i="4"/>
  <c r="N64" i="4"/>
  <c r="U63" i="4" a="1"/>
  <c r="U63" i="4"/>
  <c r="T63" i="4"/>
  <c r="S63" i="4"/>
  <c r="R63" i="4"/>
  <c r="Q63" i="4"/>
  <c r="P63" i="4"/>
  <c r="O63" i="4"/>
  <c r="N63" i="4"/>
  <c r="U62" i="4" a="1"/>
  <c r="U62" i="4"/>
  <c r="S62" i="4"/>
  <c r="T62" i="4" s="1"/>
  <c r="R62" i="4"/>
  <c r="Q62" i="4"/>
  <c r="P62" i="4"/>
  <c r="O62" i="4"/>
  <c r="N62" i="4"/>
  <c r="U61" i="4" a="1"/>
  <c r="U61" i="4" s="1"/>
  <c r="S61" i="4"/>
  <c r="T61" i="4" s="1"/>
  <c r="R61" i="4"/>
  <c r="Q61" i="4"/>
  <c r="P61" i="4"/>
  <c r="O61" i="4"/>
  <c r="N61" i="4"/>
  <c r="U60" i="4" a="1"/>
  <c r="U60" i="4"/>
  <c r="S60" i="4"/>
  <c r="T60" i="4" s="1"/>
  <c r="R60" i="4"/>
  <c r="Q60" i="4"/>
  <c r="P60" i="4"/>
  <c r="O60" i="4"/>
  <c r="N60" i="4"/>
  <c r="U59" i="4" a="1"/>
  <c r="U59" i="4"/>
  <c r="T59" i="4"/>
  <c r="S59" i="4"/>
  <c r="R59" i="4"/>
  <c r="Q59" i="4"/>
  <c r="P59" i="4"/>
  <c r="O59" i="4"/>
  <c r="N59" i="4"/>
  <c r="U58" i="4" a="1"/>
  <c r="U58" i="4"/>
  <c r="S58" i="4"/>
  <c r="T58" i="4" s="1"/>
  <c r="R58" i="4"/>
  <c r="Q58" i="4"/>
  <c r="P58" i="4"/>
  <c r="O58" i="4"/>
  <c r="N58" i="4"/>
  <c r="U57" i="4" a="1"/>
  <c r="U57" i="4" s="1"/>
  <c r="S57" i="4"/>
  <c r="T57" i="4" s="1"/>
  <c r="R57" i="4"/>
  <c r="Q57" i="4"/>
  <c r="P57" i="4"/>
  <c r="O57" i="4"/>
  <c r="N57" i="4"/>
  <c r="U56" i="4" a="1"/>
  <c r="U56" i="4"/>
  <c r="S56" i="4"/>
  <c r="T56" i="4" s="1"/>
  <c r="R56" i="4"/>
  <c r="Q56" i="4"/>
  <c r="P56" i="4"/>
  <c r="O56" i="4"/>
  <c r="N56" i="4"/>
  <c r="U55" i="4" a="1"/>
  <c r="U55" i="4"/>
  <c r="T55" i="4"/>
  <c r="S55" i="4"/>
  <c r="R55" i="4"/>
  <c r="Q55" i="4"/>
  <c r="P55" i="4"/>
  <c r="O55" i="4"/>
  <c r="N55" i="4"/>
  <c r="U54" i="4" a="1"/>
  <c r="U54" i="4"/>
  <c r="S54" i="4"/>
  <c r="T54" i="4" s="1"/>
  <c r="R54" i="4"/>
  <c r="Q54" i="4"/>
  <c r="P54" i="4"/>
  <c r="O54" i="4"/>
  <c r="N54" i="4"/>
  <c r="U53" i="4" a="1"/>
  <c r="U53" i="4" s="1"/>
  <c r="S53" i="4"/>
  <c r="T53" i="4" s="1"/>
  <c r="R53" i="4"/>
  <c r="Q53" i="4"/>
  <c r="P53" i="4"/>
  <c r="O53" i="4"/>
  <c r="N53" i="4"/>
  <c r="U52" i="4" a="1"/>
  <c r="U52" i="4"/>
  <c r="S52" i="4"/>
  <c r="T52" i="4" s="1"/>
  <c r="R52" i="4"/>
  <c r="Q52" i="4"/>
  <c r="P52" i="4"/>
  <c r="O52" i="4"/>
  <c r="N52" i="4"/>
  <c r="U51" i="4" a="1"/>
  <c r="U51" i="4"/>
  <c r="T51" i="4"/>
  <c r="S51" i="4"/>
  <c r="R51" i="4"/>
  <c r="Q51" i="4"/>
  <c r="P51" i="4"/>
  <c r="O51" i="4"/>
  <c r="N51" i="4"/>
  <c r="U50" i="4" a="1"/>
  <c r="U50" i="4"/>
  <c r="S50" i="4"/>
  <c r="T50" i="4" s="1"/>
  <c r="R50" i="4"/>
  <c r="Q50" i="4"/>
  <c r="P50" i="4"/>
  <c r="O50" i="4"/>
  <c r="N50" i="4"/>
  <c r="U49" i="4" a="1"/>
  <c r="U49" i="4" s="1"/>
  <c r="S49" i="4"/>
  <c r="T49" i="4" s="1"/>
  <c r="R49" i="4"/>
  <c r="Q49" i="4"/>
  <c r="P49" i="4"/>
  <c r="O49" i="4"/>
  <c r="N49" i="4"/>
  <c r="U48" i="4" a="1"/>
  <c r="U48" i="4"/>
  <c r="S48" i="4"/>
  <c r="T48" i="4" s="1"/>
  <c r="R48" i="4"/>
  <c r="Q48" i="4"/>
  <c r="P48" i="4"/>
  <c r="O48" i="4"/>
  <c r="N48" i="4"/>
  <c r="U47" i="4" a="1"/>
  <c r="U47" i="4"/>
  <c r="T47" i="4"/>
  <c r="S47" i="4"/>
  <c r="R47" i="4"/>
  <c r="Q47" i="4"/>
  <c r="P47" i="4"/>
  <c r="O47" i="4"/>
  <c r="N47" i="4"/>
  <c r="U46" i="4" a="1"/>
  <c r="U46" i="4"/>
  <c r="S46" i="4"/>
  <c r="T46" i="4" s="1"/>
  <c r="R46" i="4"/>
  <c r="Q46" i="4"/>
  <c r="P46" i="4"/>
  <c r="O46" i="4"/>
  <c r="N46" i="4"/>
  <c r="U45" i="4" a="1"/>
  <c r="U45" i="4" s="1"/>
  <c r="S45" i="4"/>
  <c r="T45" i="4" s="1"/>
  <c r="R45" i="4"/>
  <c r="Q45" i="4"/>
  <c r="P45" i="4"/>
  <c r="O45" i="4"/>
  <c r="N45" i="4"/>
  <c r="U44" i="4" a="1"/>
  <c r="U44" i="4"/>
  <c r="S44" i="4"/>
  <c r="T44" i="4" s="1"/>
  <c r="R44" i="4"/>
  <c r="Q44" i="4"/>
  <c r="P44" i="4"/>
  <c r="O44" i="4"/>
  <c r="N44" i="4"/>
  <c r="U43" i="4" a="1"/>
  <c r="U43" i="4"/>
  <c r="T43" i="4"/>
  <c r="S43" i="4"/>
  <c r="R43" i="4"/>
  <c r="Q43" i="4"/>
  <c r="P43" i="4"/>
  <c r="O43" i="4"/>
  <c r="N43" i="4"/>
  <c r="U42" i="4" a="1"/>
  <c r="U42" i="4"/>
  <c r="S42" i="4"/>
  <c r="T42" i="4" s="1"/>
  <c r="R42" i="4"/>
  <c r="Q42" i="4"/>
  <c r="P42" i="4"/>
  <c r="O42" i="4"/>
  <c r="N42" i="4"/>
  <c r="U41" i="4" a="1"/>
  <c r="U41" i="4" s="1"/>
  <c r="S41" i="4"/>
  <c r="T41" i="4" s="1"/>
  <c r="R41" i="4"/>
  <c r="Q41" i="4"/>
  <c r="P41" i="4"/>
  <c r="O41" i="4"/>
  <c r="N41" i="4"/>
  <c r="U40" i="4" a="1"/>
  <c r="U40" i="4"/>
  <c r="S40" i="4"/>
  <c r="T40" i="4" s="1"/>
  <c r="R40" i="4"/>
  <c r="Q40" i="4"/>
  <c r="P40" i="4"/>
  <c r="O40" i="4"/>
  <c r="N40" i="4"/>
  <c r="U39" i="4" a="1"/>
  <c r="U39" i="4"/>
  <c r="T39" i="4"/>
  <c r="S39" i="4"/>
  <c r="R39" i="4"/>
  <c r="Q39" i="4"/>
  <c r="P39" i="4"/>
  <c r="O39" i="4"/>
  <c r="N39" i="4"/>
  <c r="U38" i="4" a="1"/>
  <c r="U38" i="4"/>
  <c r="S38" i="4"/>
  <c r="T38" i="4" s="1"/>
  <c r="R38" i="4"/>
  <c r="Q38" i="4"/>
  <c r="P38" i="4"/>
  <c r="O38" i="4"/>
  <c r="N38" i="4"/>
  <c r="U37" i="4" a="1"/>
  <c r="U37" i="4" s="1"/>
  <c r="S37" i="4"/>
  <c r="T37" i="4" s="1"/>
  <c r="R37" i="4"/>
  <c r="Q37" i="4"/>
  <c r="P37" i="4"/>
  <c r="O37" i="4"/>
  <c r="N37" i="4"/>
  <c r="U36" i="4" a="1"/>
  <c r="U36" i="4"/>
  <c r="S36" i="4"/>
  <c r="T36" i="4" s="1"/>
  <c r="R36" i="4"/>
  <c r="Q36" i="4"/>
  <c r="P36" i="4"/>
  <c r="O36" i="4"/>
  <c r="N36" i="4"/>
  <c r="U35" i="4" a="1"/>
  <c r="U35" i="4"/>
  <c r="T35" i="4"/>
  <c r="S35" i="4"/>
  <c r="R35" i="4"/>
  <c r="Q35" i="4"/>
  <c r="P35" i="4"/>
  <c r="O35" i="4"/>
  <c r="N35" i="4"/>
  <c r="U34" i="4" a="1"/>
  <c r="U34" i="4"/>
  <c r="S34" i="4"/>
  <c r="T34" i="4" s="1"/>
  <c r="R34" i="4"/>
  <c r="Q34" i="4"/>
  <c r="P34" i="4"/>
  <c r="O34" i="4"/>
  <c r="N34" i="4"/>
  <c r="U33" i="4" a="1"/>
  <c r="U33" i="4" s="1"/>
  <c r="S33" i="4"/>
  <c r="T33" i="4" s="1"/>
  <c r="R33" i="4"/>
  <c r="Q33" i="4"/>
  <c r="P33" i="4"/>
  <c r="O33" i="4"/>
  <c r="N33" i="4"/>
  <c r="U32" i="4" a="1"/>
  <c r="U32" i="4"/>
  <c r="S32" i="4"/>
  <c r="T32" i="4" s="1"/>
  <c r="R32" i="4"/>
  <c r="Q32" i="4"/>
  <c r="P32" i="4"/>
  <c r="O32" i="4"/>
  <c r="N32" i="4"/>
  <c r="U31" i="4" a="1"/>
  <c r="U31" i="4"/>
  <c r="T31" i="4"/>
  <c r="S31" i="4"/>
  <c r="R31" i="4"/>
  <c r="Q31" i="4"/>
  <c r="P31" i="4"/>
  <c r="O31" i="4"/>
  <c r="N31" i="4"/>
  <c r="U30" i="4" a="1"/>
  <c r="U30" i="4"/>
  <c r="S30" i="4"/>
  <c r="T30" i="4" s="1"/>
  <c r="R30" i="4"/>
  <c r="Q30" i="4"/>
  <c r="P30" i="4"/>
  <c r="O30" i="4"/>
  <c r="N30" i="4"/>
  <c r="U29" i="4" a="1"/>
  <c r="U29" i="4" s="1"/>
  <c r="S29" i="4"/>
  <c r="T29" i="4" s="1"/>
  <c r="R29" i="4"/>
  <c r="Q29" i="4"/>
  <c r="P29" i="4"/>
  <c r="O29" i="4"/>
  <c r="N29" i="4"/>
  <c r="U28" i="4" a="1"/>
  <c r="U28" i="4"/>
  <c r="S28" i="4"/>
  <c r="T28" i="4" s="1"/>
  <c r="R28" i="4"/>
  <c r="Q28" i="4"/>
  <c r="P28" i="4"/>
  <c r="O28" i="4"/>
  <c r="N28" i="4"/>
  <c r="U27" i="4" a="1"/>
  <c r="U27" i="4"/>
  <c r="T27" i="4"/>
  <c r="S27" i="4"/>
  <c r="R27" i="4"/>
  <c r="Q27" i="4"/>
  <c r="P27" i="4"/>
  <c r="O27" i="4"/>
  <c r="N27" i="4"/>
  <c r="U26" i="4" a="1"/>
  <c r="U26" i="4"/>
  <c r="S26" i="4"/>
  <c r="T26" i="4" s="1"/>
  <c r="R26" i="4"/>
  <c r="Q26" i="4"/>
  <c r="P26" i="4"/>
  <c r="O26" i="4"/>
  <c r="N26" i="4"/>
  <c r="U25" i="4" a="1"/>
  <c r="U25" i="4" s="1"/>
  <c r="S25" i="4"/>
  <c r="T25" i="4" s="1"/>
  <c r="R25" i="4"/>
  <c r="Q25" i="4"/>
  <c r="P25" i="4"/>
  <c r="O25" i="4"/>
  <c r="N25" i="4"/>
  <c r="U24" i="4" a="1"/>
  <c r="U24" i="4"/>
  <c r="S24" i="4"/>
  <c r="T24" i="4" s="1"/>
  <c r="R24" i="4"/>
  <c r="Q24" i="4"/>
  <c r="P24" i="4"/>
  <c r="O24" i="4"/>
  <c r="N24" i="4"/>
  <c r="U23" i="4" a="1"/>
  <c r="U23" i="4"/>
  <c r="T23" i="4"/>
  <c r="S23" i="4"/>
  <c r="R23" i="4"/>
  <c r="Q23" i="4"/>
  <c r="P23" i="4"/>
  <c r="O23" i="4"/>
  <c r="N23" i="4"/>
  <c r="U22" i="4" a="1"/>
  <c r="U22" i="4"/>
  <c r="S22" i="4"/>
  <c r="T22" i="4" s="1"/>
  <c r="R22" i="4"/>
  <c r="Q22" i="4"/>
  <c r="P22" i="4"/>
  <c r="O22" i="4"/>
  <c r="N22" i="4"/>
  <c r="U21" i="4" a="1"/>
  <c r="U21" i="4" s="1"/>
  <c r="S21" i="4"/>
  <c r="T21" i="4" s="1"/>
  <c r="R21" i="4"/>
  <c r="Q21" i="4"/>
  <c r="P21" i="4"/>
  <c r="O21" i="4"/>
  <c r="N21" i="4"/>
  <c r="U20" i="4" a="1"/>
  <c r="U20" i="4"/>
  <c r="S20" i="4"/>
  <c r="T20" i="4" s="1"/>
  <c r="R20" i="4"/>
  <c r="Q20" i="4"/>
  <c r="P20" i="4"/>
  <c r="O20" i="4"/>
  <c r="N20" i="4"/>
  <c r="U19" i="4" a="1"/>
  <c r="U19" i="4"/>
  <c r="T19" i="4"/>
  <c r="S19" i="4"/>
  <c r="R19" i="4"/>
  <c r="Q19" i="4"/>
  <c r="P19" i="4"/>
  <c r="O19" i="4"/>
  <c r="N19" i="4"/>
  <c r="U18" i="4" a="1"/>
  <c r="U18" i="4"/>
  <c r="S18" i="4"/>
  <c r="T18" i="4" s="1"/>
  <c r="R18" i="4"/>
  <c r="Q18" i="4"/>
  <c r="P18" i="4"/>
  <c r="O18" i="4"/>
  <c r="N18" i="4"/>
  <c r="U17" i="4" a="1"/>
  <c r="U17" i="4" s="1"/>
  <c r="S17" i="4"/>
  <c r="T17" i="4" s="1"/>
  <c r="R17" i="4"/>
  <c r="Q17" i="4"/>
  <c r="P17" i="4"/>
  <c r="O17" i="4"/>
  <c r="N17" i="4"/>
  <c r="U16" i="4" a="1"/>
  <c r="U16" i="4"/>
  <c r="S16" i="4"/>
  <c r="T16" i="4" s="1"/>
  <c r="R16" i="4"/>
  <c r="Q16" i="4"/>
  <c r="P16" i="4"/>
  <c r="O16" i="4"/>
  <c r="N16" i="4"/>
  <c r="U15" i="4" a="1"/>
  <c r="U15" i="4"/>
  <c r="T15" i="4"/>
  <c r="S15" i="4"/>
  <c r="R15" i="4"/>
  <c r="Q15" i="4"/>
  <c r="P15" i="4"/>
  <c r="O15" i="4"/>
  <c r="N15" i="4"/>
  <c r="U14" i="4" a="1"/>
  <c r="U14" i="4"/>
  <c r="S14" i="4"/>
  <c r="T14" i="4" s="1"/>
  <c r="R14" i="4"/>
  <c r="Q14" i="4"/>
  <c r="P14" i="4"/>
  <c r="O14" i="4"/>
  <c r="N14" i="4"/>
  <c r="U13" i="4" a="1"/>
  <c r="U13" i="4" s="1"/>
  <c r="S13" i="4"/>
  <c r="T13" i="4" s="1"/>
  <c r="R13" i="4"/>
  <c r="Q13" i="4"/>
  <c r="P13" i="4"/>
  <c r="O13" i="4"/>
  <c r="N13" i="4"/>
  <c r="U12" i="4" a="1"/>
  <c r="U12" i="4"/>
  <c r="S12" i="4"/>
  <c r="T12" i="4" s="1"/>
  <c r="R12" i="4"/>
  <c r="Q12" i="4"/>
  <c r="P12" i="4"/>
  <c r="O12" i="4"/>
  <c r="N12" i="4"/>
  <c r="U11" i="4" a="1"/>
  <c r="U11" i="4"/>
  <c r="T11" i="4"/>
  <c r="S11" i="4"/>
  <c r="R11" i="4"/>
  <c r="Q11" i="4"/>
  <c r="P11" i="4"/>
  <c r="O11" i="4"/>
  <c r="N11" i="4"/>
  <c r="U10" i="4" a="1"/>
  <c r="U10" i="4"/>
  <c r="S10" i="4"/>
  <c r="T10" i="4" s="1"/>
  <c r="R10" i="4"/>
  <c r="Q10" i="4"/>
  <c r="P10" i="4"/>
  <c r="O10" i="4"/>
  <c r="N10" i="4"/>
  <c r="U9" i="4" a="1"/>
  <c r="U9" i="4" s="1"/>
  <c r="S9" i="4"/>
  <c r="T9" i="4" s="1"/>
  <c r="R9" i="4"/>
  <c r="Q9" i="4"/>
  <c r="P9" i="4"/>
  <c r="O9" i="4"/>
  <c r="N9" i="4"/>
  <c r="U8" i="4" a="1"/>
  <c r="U8" i="4"/>
  <c r="S8" i="4"/>
  <c r="T8" i="4" s="1"/>
  <c r="R8" i="4"/>
  <c r="Q8" i="4"/>
  <c r="P8" i="4"/>
  <c r="O8" i="4"/>
  <c r="N8" i="4"/>
  <c r="U7" i="4" a="1"/>
  <c r="U7" i="4"/>
  <c r="T7" i="4"/>
  <c r="S7" i="4"/>
  <c r="R7" i="4"/>
  <c r="Q7" i="4"/>
  <c r="P7" i="4"/>
  <c r="O7" i="4"/>
  <c r="N7" i="4"/>
  <c r="U6" i="4" a="1"/>
  <c r="U6" i="4"/>
  <c r="S6" i="4"/>
  <c r="T6" i="4" s="1"/>
  <c r="R6" i="4"/>
  <c r="Q6" i="4"/>
  <c r="P6" i="4"/>
  <c r="O6" i="4"/>
  <c r="N6" i="4"/>
  <c r="U5" i="4" a="1"/>
  <c r="U5" i="4" s="1"/>
  <c r="S5" i="4"/>
  <c r="T5" i="4" s="1"/>
  <c r="R5" i="4"/>
  <c r="Q5" i="4"/>
  <c r="P5" i="4"/>
  <c r="O5" i="4"/>
  <c r="N5" i="4"/>
  <c r="U4" i="4" a="1"/>
  <c r="U4" i="4"/>
  <c r="T4" i="4"/>
  <c r="S4" i="4"/>
  <c r="R4" i="4"/>
  <c r="Q4" i="4"/>
  <c r="P4" i="4"/>
  <c r="O4" i="4"/>
  <c r="N4" i="4"/>
  <c r="U3" i="4" a="1"/>
  <c r="U3" i="4"/>
  <c r="T3" i="4"/>
  <c r="S3" i="4"/>
  <c r="R3" i="4"/>
  <c r="Q3" i="4"/>
  <c r="P3" i="4"/>
  <c r="O3" i="4"/>
  <c r="N3" i="4"/>
  <c r="U2" i="4" a="1"/>
  <c r="U2" i="4" s="1"/>
  <c r="S2" i="4"/>
  <c r="T2" i="4" s="1"/>
  <c r="R2" i="4"/>
  <c r="Q2" i="4"/>
  <c r="P2" i="4"/>
  <c r="O2" i="4"/>
  <c r="N2" i="4"/>
  <c r="N301" i="2"/>
  <c r="N300" i="2"/>
  <c r="N299" i="2"/>
  <c r="N298" i="2"/>
  <c r="N297" i="2"/>
  <c r="N296" i="2"/>
  <c r="N295" i="2"/>
  <c r="N294" i="2"/>
  <c r="N293" i="2"/>
  <c r="N292" i="2"/>
  <c r="N291" i="2"/>
  <c r="N290" i="2"/>
  <c r="N289" i="2"/>
  <c r="N288" i="2"/>
  <c r="N287" i="2"/>
  <c r="N286" i="2"/>
  <c r="N285" i="2"/>
  <c r="N284" i="2"/>
  <c r="N283" i="2"/>
  <c r="N282" i="2"/>
  <c r="N281" i="2"/>
  <c r="N280" i="2"/>
  <c r="N279" i="2"/>
  <c r="N278" i="2"/>
  <c r="N277" i="2"/>
  <c r="N276" i="2"/>
  <c r="N275" i="2"/>
  <c r="N274" i="2"/>
  <c r="N273" i="2"/>
  <c r="N272" i="2"/>
  <c r="N271" i="2"/>
  <c r="N270" i="2"/>
  <c r="N269" i="2"/>
  <c r="N268" i="2"/>
  <c r="N267" i="2"/>
  <c r="N266" i="2"/>
  <c r="N265" i="2"/>
  <c r="N264" i="2"/>
  <c r="N263" i="2"/>
  <c r="N262" i="2"/>
  <c r="N261" i="2"/>
  <c r="N260" i="2"/>
  <c r="N259" i="2"/>
  <c r="N258" i="2"/>
  <c r="N257" i="2"/>
  <c r="N256" i="2"/>
  <c r="N255" i="2"/>
  <c r="N254" i="2"/>
  <c r="N253" i="2"/>
  <c r="N252" i="2"/>
  <c r="N251" i="2"/>
  <c r="N250" i="2"/>
  <c r="N249" i="2"/>
  <c r="N248" i="2"/>
  <c r="N247" i="2"/>
  <c r="N246" i="2"/>
  <c r="N245" i="2"/>
  <c r="N244" i="2"/>
  <c r="N243" i="2"/>
  <c r="N242" i="2"/>
  <c r="N241" i="2"/>
  <c r="N240" i="2"/>
  <c r="N239" i="2"/>
  <c r="N238" i="2"/>
  <c r="N237" i="2"/>
  <c r="N236" i="2"/>
  <c r="N235" i="2"/>
  <c r="N234" i="2"/>
  <c r="N233" i="2"/>
  <c r="N232" i="2"/>
  <c r="N231" i="2"/>
  <c r="N230" i="2"/>
  <c r="N229" i="2"/>
  <c r="N228" i="2"/>
  <c r="N227" i="2"/>
  <c r="N226" i="2"/>
  <c r="N225" i="2"/>
  <c r="N224" i="2"/>
  <c r="N223" i="2"/>
  <c r="N222" i="2"/>
  <c r="N221" i="2"/>
  <c r="N220" i="2"/>
  <c r="N219" i="2"/>
  <c r="N218" i="2"/>
  <c r="N217" i="2"/>
  <c r="N216" i="2"/>
  <c r="N215" i="2"/>
  <c r="N214" i="2"/>
  <c r="N213" i="2"/>
  <c r="N212" i="2"/>
  <c r="N211" i="2"/>
  <c r="N210" i="2"/>
  <c r="N209" i="2"/>
  <c r="N208" i="2"/>
  <c r="N207" i="2"/>
  <c r="N206" i="2"/>
  <c r="N205" i="2"/>
  <c r="N204" i="2"/>
  <c r="N203" i="2"/>
  <c r="N202" i="2"/>
  <c r="N201" i="2"/>
  <c r="N200" i="2"/>
  <c r="N199" i="2"/>
  <c r="N198" i="2"/>
  <c r="N197" i="2"/>
  <c r="N196" i="2"/>
  <c r="N195" i="2"/>
  <c r="N194" i="2"/>
  <c r="N193" i="2"/>
  <c r="N192" i="2"/>
  <c r="N191" i="2"/>
  <c r="N190" i="2"/>
  <c r="N189" i="2"/>
  <c r="N188" i="2"/>
  <c r="N187" i="2"/>
  <c r="N186" i="2"/>
  <c r="N185" i="2"/>
  <c r="N184" i="2"/>
  <c r="N183" i="2"/>
  <c r="N182" i="2"/>
  <c r="N181" i="2"/>
  <c r="N180" i="2"/>
  <c r="N179" i="2"/>
  <c r="N178" i="2"/>
  <c r="N177" i="2"/>
  <c r="N176" i="2"/>
  <c r="N175" i="2"/>
  <c r="N174" i="2"/>
  <c r="N173" i="2"/>
  <c r="N172" i="2"/>
  <c r="N171" i="2"/>
  <c r="N170" i="2"/>
  <c r="N169" i="2"/>
  <c r="N168" i="2"/>
  <c r="N167" i="2"/>
  <c r="N166" i="2"/>
  <c r="N165" i="2"/>
  <c r="N164" i="2"/>
  <c r="N163" i="2"/>
  <c r="N162" i="2"/>
  <c r="N161" i="2"/>
  <c r="N160" i="2"/>
  <c r="N159" i="2"/>
  <c r="N158" i="2"/>
  <c r="N157" i="2"/>
  <c r="N156" i="2"/>
  <c r="N155" i="2"/>
  <c r="N154" i="2"/>
  <c r="N153" i="2"/>
  <c r="N152" i="2"/>
  <c r="N151" i="2"/>
  <c r="N150" i="2"/>
  <c r="N149" i="2"/>
  <c r="N148" i="2"/>
  <c r="N147" i="2"/>
  <c r="N146" i="2"/>
  <c r="N145" i="2"/>
  <c r="N144" i="2"/>
  <c r="N143" i="2"/>
  <c r="N142" i="2"/>
  <c r="N141" i="2"/>
  <c r="N140" i="2"/>
  <c r="N139" i="2"/>
  <c r="N138" i="2"/>
  <c r="N137" i="2"/>
  <c r="N136" i="2"/>
  <c r="N135" i="2"/>
  <c r="N134" i="2"/>
  <c r="N133" i="2"/>
  <c r="N132" i="2"/>
  <c r="N131" i="2"/>
  <c r="N130" i="2"/>
  <c r="N129" i="2"/>
  <c r="N128" i="2"/>
  <c r="N127" i="2"/>
  <c r="N126" i="2"/>
  <c r="N125" i="2"/>
  <c r="N124" i="2"/>
  <c r="N123" i="2"/>
  <c r="N122" i="2"/>
  <c r="N121" i="2"/>
  <c r="N120" i="2"/>
  <c r="N119" i="2"/>
  <c r="N118" i="2"/>
  <c r="N117" i="2"/>
  <c r="N116" i="2"/>
  <c r="N115" i="2"/>
  <c r="N114" i="2"/>
  <c r="N113" i="2"/>
  <c r="N112" i="2"/>
  <c r="N111" i="2"/>
  <c r="N110" i="2"/>
  <c r="N109" i="2"/>
  <c r="N108" i="2"/>
  <c r="N107" i="2"/>
  <c r="N106" i="2"/>
  <c r="N105" i="2"/>
  <c r="N104" i="2"/>
  <c r="N103" i="2"/>
  <c r="N102" i="2"/>
  <c r="N101" i="2"/>
  <c r="N100" i="2"/>
  <c r="N99" i="2"/>
  <c r="N98" i="2"/>
  <c r="N97" i="2"/>
  <c r="N96" i="2"/>
  <c r="N95" i="2"/>
  <c r="N94" i="2"/>
  <c r="N93" i="2"/>
  <c r="N92" i="2"/>
  <c r="N91" i="2"/>
  <c r="N90" i="2"/>
  <c r="N89" i="2"/>
  <c r="N88" i="2"/>
  <c r="N87" i="2"/>
  <c r="N86" i="2"/>
  <c r="N85" i="2"/>
  <c r="N84" i="2"/>
  <c r="N83" i="2"/>
  <c r="N82" i="2"/>
  <c r="N81" i="2"/>
  <c r="N80" i="2"/>
  <c r="N79" i="2"/>
  <c r="N78" i="2"/>
  <c r="N77" i="2"/>
  <c r="N76" i="2"/>
  <c r="N75" i="2"/>
  <c r="N74" i="2"/>
  <c r="N73" i="2"/>
  <c r="N72" i="2"/>
  <c r="N71" i="2"/>
  <c r="N70" i="2"/>
  <c r="N69" i="2"/>
  <c r="N68" i="2"/>
  <c r="N67" i="2"/>
  <c r="N66" i="2"/>
  <c r="N65" i="2"/>
  <c r="N64" i="2"/>
  <c r="N63" i="2"/>
  <c r="N62" i="2"/>
  <c r="N61" i="2"/>
  <c r="N60" i="2"/>
  <c r="N59" i="2"/>
  <c r="N58" i="2"/>
  <c r="N57" i="2"/>
  <c r="N56" i="2"/>
  <c r="N55" i="2"/>
  <c r="N54" i="2"/>
  <c r="N53" i="2"/>
  <c r="N52" i="2"/>
  <c r="N51" i="2"/>
  <c r="N50" i="2"/>
  <c r="N49" i="2"/>
  <c r="N48" i="2"/>
  <c r="N47" i="2"/>
  <c r="N46" i="2"/>
  <c r="N45" i="2"/>
  <c r="N44" i="2"/>
  <c r="N43" i="2"/>
  <c r="N42" i="2"/>
  <c r="N41" i="2"/>
  <c r="N40" i="2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</calcChain>
</file>

<file path=xl/sharedStrings.xml><?xml version="1.0" encoding="utf-8"?>
<sst xmlns="http://schemas.openxmlformats.org/spreadsheetml/2006/main" count="8606" uniqueCount="183">
  <si>
    <t>OrderID</t>
  </si>
  <si>
    <t>OrderDate</t>
  </si>
  <si>
    <t>Region</t>
  </si>
  <si>
    <t>Salesperson</t>
  </si>
  <si>
    <t>Customer</t>
  </si>
  <si>
    <t>Category</t>
  </si>
  <si>
    <t>Product</t>
  </si>
  <si>
    <t>Quantity</t>
  </si>
  <si>
    <t>UnitPrice</t>
  </si>
  <si>
    <t>Discount</t>
  </si>
  <si>
    <t>Revenue</t>
  </si>
  <si>
    <t>Payment</t>
  </si>
  <si>
    <t>Status</t>
  </si>
  <si>
    <t>Revenue check</t>
  </si>
  <si>
    <t>South</t>
  </si>
  <si>
    <t>Ayesha</t>
  </si>
  <si>
    <t>Customer_2</t>
  </si>
  <si>
    <t>Electronics</t>
  </si>
  <si>
    <t>Laptop</t>
  </si>
  <si>
    <t>Bank</t>
  </si>
  <si>
    <t>Completed</t>
  </si>
  <si>
    <t>West</t>
  </si>
  <si>
    <t>Hina</t>
  </si>
  <si>
    <t>Customer_37</t>
  </si>
  <si>
    <t>Office</t>
  </si>
  <si>
    <t>Desk</t>
  </si>
  <si>
    <t>Returned</t>
  </si>
  <si>
    <t>East</t>
  </si>
  <si>
    <t>Sara</t>
  </si>
  <si>
    <t>Customer_13</t>
  </si>
  <si>
    <t>Mouse</t>
  </si>
  <si>
    <t>Bilal</t>
  </si>
  <si>
    <t>Customer_30</t>
  </si>
  <si>
    <t>Furniture</t>
  </si>
  <si>
    <t>Cabinet</t>
  </si>
  <si>
    <t>Card</t>
  </si>
  <si>
    <t>Pending</t>
  </si>
  <si>
    <t>Customer_52</t>
  </si>
  <si>
    <t>Chair</t>
  </si>
  <si>
    <t>Cash</t>
  </si>
  <si>
    <t>Customer_76</t>
  </si>
  <si>
    <t>Customer_31</t>
  </si>
  <si>
    <t>Customer_3</t>
  </si>
  <si>
    <t>North</t>
  </si>
  <si>
    <t>Customer_1</t>
  </si>
  <si>
    <t>Customer_33</t>
  </si>
  <si>
    <t>Keyboard</t>
  </si>
  <si>
    <t>Ahmed</t>
  </si>
  <si>
    <t>Customer_26</t>
  </si>
  <si>
    <t>Customer_67</t>
  </si>
  <si>
    <t>Customer_48</t>
  </si>
  <si>
    <t>Customer_63</t>
  </si>
  <si>
    <t>Customer_42</t>
  </si>
  <si>
    <t>Shelf</t>
  </si>
  <si>
    <t>Ali</t>
  </si>
  <si>
    <t>Customer_29</t>
  </si>
  <si>
    <t>Customer_57</t>
  </si>
  <si>
    <t>Customer_49</t>
  </si>
  <si>
    <t xml:space="preserve">Customer_5 </t>
  </si>
  <si>
    <t>Customer_6</t>
  </si>
  <si>
    <t>Customer_35</t>
  </si>
  <si>
    <t>Table</t>
  </si>
  <si>
    <t>Customer_62</t>
  </si>
  <si>
    <t>Paper</t>
  </si>
  <si>
    <t>Customer_34</t>
  </si>
  <si>
    <t>Customer_4</t>
  </si>
  <si>
    <t>Customer_54</t>
  </si>
  <si>
    <t>Customer_61</t>
  </si>
  <si>
    <t>Customer_9</t>
  </si>
  <si>
    <t>Customer_64</t>
  </si>
  <si>
    <t>Customer_51</t>
  </si>
  <si>
    <t>Customer_80</t>
  </si>
  <si>
    <t>Customer_38</t>
  </si>
  <si>
    <t>Customer_53</t>
  </si>
  <si>
    <t>Customer_71</t>
  </si>
  <si>
    <t>Customer_10</t>
  </si>
  <si>
    <t>Customer_12</t>
  </si>
  <si>
    <t>Customer_25</t>
  </si>
  <si>
    <t>Customer_40</t>
  </si>
  <si>
    <t>Customer_72</t>
  </si>
  <si>
    <t>Customer_56</t>
  </si>
  <si>
    <t>Customer_78</t>
  </si>
  <si>
    <t>Customer_16</t>
  </si>
  <si>
    <t>Customer_74</t>
  </si>
  <si>
    <t>Customer_32</t>
  </si>
  <si>
    <t>Customer_11</t>
  </si>
  <si>
    <t>Customer_44</t>
  </si>
  <si>
    <t>Customer_60</t>
  </si>
  <si>
    <t>Customer_14</t>
  </si>
  <si>
    <t>Customer_69</t>
  </si>
  <si>
    <t>Customer_68</t>
  </si>
  <si>
    <t>Customer_23</t>
  </si>
  <si>
    <t>Customer_39</t>
  </si>
  <si>
    <t>Customer_70</t>
  </si>
  <si>
    <t>Customer_43</t>
  </si>
  <si>
    <t>Customer_21</t>
  </si>
  <si>
    <t>Customer_41</t>
  </si>
  <si>
    <t>Customer_59</t>
  </si>
  <si>
    <t>Customer_24</t>
  </si>
  <si>
    <t>Customer_17</t>
  </si>
  <si>
    <t>Customer_28</t>
  </si>
  <si>
    <t>Customer_47</t>
  </si>
  <si>
    <t>Customer_7</t>
  </si>
  <si>
    <t>Customer_18</t>
  </si>
  <si>
    <t>Customer_20</t>
  </si>
  <si>
    <t>electronics</t>
  </si>
  <si>
    <t>Customer_15</t>
  </si>
  <si>
    <t>Customer_19</t>
  </si>
  <si>
    <t>Customer_27</t>
  </si>
  <si>
    <t>Customer_77</t>
  </si>
  <si>
    <t>Customer_75</t>
  </si>
  <si>
    <t>Customer_73</t>
  </si>
  <si>
    <t>Customer_55</t>
  </si>
  <si>
    <t>Customer_46</t>
  </si>
  <si>
    <t>Customer_50</t>
  </si>
  <si>
    <t>Customer_22</t>
  </si>
  <si>
    <t>Customer_36</t>
  </si>
  <si>
    <t>Customer_5</t>
  </si>
  <si>
    <t>Customer_66</t>
  </si>
  <si>
    <t>Customer_8</t>
  </si>
  <si>
    <t>Customer_79</t>
  </si>
  <si>
    <t>Customer_58</t>
  </si>
  <si>
    <t>Customer_65</t>
  </si>
  <si>
    <t>Customer_45</t>
  </si>
  <si>
    <t>Total Revenue by Region.</t>
  </si>
  <si>
    <t>Revenue by Category/Product</t>
  </si>
  <si>
    <t>Total Orders by Salesperson.</t>
  </si>
  <si>
    <t>Average Revenue by Region.</t>
  </si>
  <si>
    <t>Sum of NET Revenue</t>
  </si>
  <si>
    <t xml:space="preserve">Revenue </t>
  </si>
  <si>
    <t>Sales Person</t>
  </si>
  <si>
    <t>Sum of Quantity</t>
  </si>
  <si>
    <t>Average Revenue</t>
  </si>
  <si>
    <t>Grand Total</t>
  </si>
  <si>
    <t>Revenue by Payment Method.</t>
  </si>
  <si>
    <t>Revenue by Order Status.</t>
  </si>
  <si>
    <t>Monthly Revenue Trend.</t>
  </si>
  <si>
    <t>Quarterly Revenue Trend.</t>
  </si>
  <si>
    <t>Payment method</t>
  </si>
  <si>
    <t>Total Revenue</t>
  </si>
  <si>
    <t>Order Status</t>
  </si>
  <si>
    <t>Month</t>
  </si>
  <si>
    <t xml:space="preserve"> Revenue Trend</t>
  </si>
  <si>
    <t>Quarter</t>
  </si>
  <si>
    <t xml:space="preserve"> Revenue</t>
  </si>
  <si>
    <t>May</t>
  </si>
  <si>
    <t>Q1</t>
  </si>
  <si>
    <t>April</t>
  </si>
  <si>
    <t>Q2</t>
  </si>
  <si>
    <t>March</t>
  </si>
  <si>
    <t>Q3</t>
  </si>
  <si>
    <t>January</t>
  </si>
  <si>
    <t>Q4</t>
  </si>
  <si>
    <t>June</t>
  </si>
  <si>
    <t>February</t>
  </si>
  <si>
    <t>Highest Selling Product.</t>
  </si>
  <si>
    <t>December</t>
  </si>
  <si>
    <t>Total Quantity</t>
  </si>
  <si>
    <t>Total Quantity Sold by Category.</t>
  </si>
  <si>
    <t>July</t>
  </si>
  <si>
    <t>Returned Orders by Region.</t>
  </si>
  <si>
    <t>August</t>
  </si>
  <si>
    <t>Returned orders</t>
  </si>
  <si>
    <t>November</t>
  </si>
  <si>
    <t>September</t>
  </si>
  <si>
    <t>October</t>
  </si>
  <si>
    <t>Region vs Category Matrix.</t>
  </si>
  <si>
    <t>Payment Method vs Region.</t>
  </si>
  <si>
    <t>Region vs Category</t>
  </si>
  <si>
    <t>Salesperson vs Region Matrix.</t>
  </si>
  <si>
    <t>Revenue calc</t>
  </si>
  <si>
    <t>Regions</t>
  </si>
  <si>
    <t>YEAR</t>
  </si>
  <si>
    <t>Month name</t>
  </si>
  <si>
    <t>Profit</t>
  </si>
  <si>
    <t>VAT</t>
  </si>
  <si>
    <t>NET Revenue</t>
  </si>
  <si>
    <t>Revenue Category</t>
  </si>
  <si>
    <t>AVG  ORDER VAL</t>
  </si>
  <si>
    <t>4336.276933</t>
  </si>
  <si>
    <t xml:space="preserve"> north </t>
  </si>
  <si>
    <t xml:space="preserve">999 </t>
  </si>
  <si>
    <t xml:space="preserve">Sara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</si>
</sst>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[$PKR]\ #,##0"/>
    <numFmt numFmtId="166" formatCode="[$PKR]\ #,##0.0"/>
    <numFmt numFmtId="167" formatCode="yyyy\-mm\-dd\ h:mm:ss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0" borderId="1" xfId="0" applyBorder="1"/>
    <xf numFmtId="164" fontId="0" fillId="0" borderId="1" xfId="0" applyNumberFormat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/>
    <xf numFmtId="0" fontId="0" fillId="0" borderId="0" xfId="0" applyAlignment="1">
      <alignment horizontal="center"/>
    </xf>
    <xf numFmtId="165" fontId="0" fillId="0" borderId="0" xfId="0" applyNumberFormat="1" applyAlignment="1">
      <alignment horizontal="left"/>
    </xf>
    <xf numFmtId="166" fontId="0" fillId="0" borderId="0" xfId="0" applyNumberFormat="1"/>
    <xf numFmtId="166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166" fontId="0" fillId="0" borderId="0" xfId="0" applyNumberFormat="1" applyAlignment="1">
      <alignment horizontal="right"/>
    </xf>
    <xf numFmtId="166" fontId="0" fillId="0" borderId="0" xfId="0" applyNumberFormat="1" applyAlignment="1">
      <alignment horizontal="center"/>
    </xf>
    <xf numFmtId="0" fontId="0" fillId="0" borderId="0" xfId="0"/>
    <xf numFmtId="0" fontId="4" fillId="0" borderId="0" xfId="0" pivotButton="1" applyFont="1"/>
    <xf numFmtId="0" fontId="4" fillId="0" borderId="0" xfId="0" applyFont="1"/>
    <xf numFmtId="0" fontId="1" fillId="3" borderId="0" xfId="0" applyFont="1" applyFill="1" applyAlignment="1">
      <alignment horizontal="left" vertical="center"/>
    </xf>
    <xf numFmtId="14" fontId="1" fillId="3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6" fontId="1" fillId="3" borderId="1" xfId="0" applyNumberFormat="1" applyFont="1" applyFill="1" applyBorder="1" applyAlignment="1">
      <alignment horizontal="center" vertical="center"/>
    </xf>
    <xf numFmtId="166" fontId="1" fillId="3" borderId="0" xfId="0" applyNumberFormat="1" applyFont="1" applyFill="1" applyAlignment="1">
      <alignment horizontal="center" vertical="center"/>
    </xf>
    <xf numFmtId="167" fontId="0" fillId="0" borderId="0" xfId="0" applyNumberFormat="1"/>
    <xf numFmtId="0" fontId="2" fillId="2" borderId="0" xfId="0" applyFont="1" applyFill="1" applyAlignment="1">
      <alignment horizontal="center" vertical="center"/>
    </xf>
    <xf numFmtId="0" fontId="0" fillId="0" borderId="0" xfId="0"/>
    <xf numFmtId="0" fontId="0" fillId="0" borderId="0" xfId="0" applyAlignment="1">
      <alignment vertical="center"/>
    </xf>
    <xf numFmtId="0" fontId="3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7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theme="7" tint="0.39994506668294322"/>
        </patternFill>
      </fill>
    </dxf>
    <dxf>
      <fill>
        <patternFill>
          <bgColor theme="3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</dxf>
    <dxf>
      <font>
        <color auto="1"/>
      </font>
    </dxf>
    <dxf>
      <alignment horizontal="right"/>
    </dxf>
    <dxf>
      <alignment horizontal="right"/>
    </dxf>
    <dxf>
      <alignment horizontal="left"/>
    </dxf>
    <dxf>
      <font>
        <color auto="1"/>
      </font>
    </dxf>
    <dxf>
      <font>
        <color auto="1"/>
      </font>
    </dxf>
    <dxf>
      <numFmt numFmtId="166" formatCode="[$PKR]\ #,##0.0"/>
    </dxf>
    <dxf>
      <numFmt numFmtId="165" formatCode="[$PKR]\ #,##0"/>
    </dxf>
    <dxf>
      <numFmt numFmtId="165" formatCode="[$PKR]\ #,##0"/>
    </dxf>
    <dxf>
      <alignment horizontal="left"/>
    </dxf>
    <dxf>
      <numFmt numFmtId="166" formatCode="[$PKR]\ #,##0.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right"/>
    </dxf>
    <dxf>
      <alignment horizontal="right"/>
    </dxf>
    <dxf>
      <alignment horizontal="right"/>
    </dxf>
    <dxf>
      <alignment horizontal="left"/>
    </dxf>
    <dxf>
      <numFmt numFmtId="164" formatCode="0.0"/>
      <alignment horizontal="left" vertical="bottom"/>
    </dxf>
    <dxf>
      <numFmt numFmtId="164" formatCode="0.0"/>
      <alignment horizontal="left" vertical="bottom"/>
    </dxf>
    <dxf>
      <alignment horizontal="left" vertical="bottom"/>
    </dxf>
    <dxf>
      <alignment horizontal="left" vertical="bottom"/>
    </dxf>
    <dxf>
      <numFmt numFmtId="19" formatCode="m/d/yyyy"/>
      <alignment horizontal="left" vertical="bottom"/>
    </dxf>
    <dxf>
      <alignment horizontal="left" vertical="bottom"/>
    </dxf>
    <dxf>
      <alignment horizontal="left" vertical="bottom"/>
    </dxf>
    <dxf>
      <font>
        <b/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center" vertical="center"/>
    </dxf>
    <dxf>
      <alignment horizontal="left" vertical="bottom"/>
    </dxf>
    <dxf>
      <numFmt numFmtId="164" formatCode="0.0"/>
      <alignment horizontal="left" vertical="bottom"/>
    </dxf>
    <dxf>
      <numFmt numFmtId="164" formatCode="0.0"/>
      <alignment horizontal="left" vertical="bottom"/>
    </dxf>
    <dxf>
      <numFmt numFmtId="164" formatCode="0.0"/>
      <alignment horizontal="left" vertical="bottom"/>
    </dxf>
    <dxf>
      <numFmt numFmtId="166" formatCode="[$PKR]\ #,##0.0"/>
      <alignment horizontal="left" vertical="bottom"/>
    </dxf>
    <dxf>
      <numFmt numFmtId="166" formatCode="[$PKR]\ #,##0.0"/>
      <alignment horizontal="left" vertical="bottom"/>
    </dxf>
    <dxf>
      <numFmt numFmtId="164" formatCode="0.0"/>
      <alignment horizontal="left" vertical="bottom"/>
    </dxf>
    <dxf>
      <numFmt numFmtId="164" formatCode="0.0"/>
      <alignment horizontal="left" vertical="bottom"/>
    </dxf>
    <dxf>
      <numFmt numFmtId="164" formatCode="0.0"/>
      <alignment horizontal="left" vertical="bottom"/>
    </dxf>
    <dxf>
      <numFmt numFmtId="164" formatCode="0.0"/>
      <alignment horizontal="left" vertical="bottom"/>
    </dxf>
    <dxf>
      <numFmt numFmtId="0" formatCode="General"/>
      <alignment horizontal="left" vertical="bottom"/>
    </dxf>
    <dxf>
      <numFmt numFmtId="0" formatCode="General"/>
      <alignment horizontal="left" vertical="bottom"/>
    </dxf>
    <dxf>
      <numFmt numFmtId="0" formatCode="General"/>
      <alignment horizontal="left" vertical="bottom"/>
    </dxf>
    <dxf>
      <numFmt numFmtId="0" formatCode="General"/>
      <alignment horizontal="left" vertical="bottom"/>
    </dxf>
    <dxf>
      <numFmt numFmtId="0" formatCode="General"/>
      <alignment horizontal="left" vertical="bottom"/>
    </dxf>
    <dxf>
      <numFmt numFmtId="0" formatCode="General"/>
      <alignment horizontal="left" vertical="bottom"/>
    </dxf>
    <dxf>
      <numFmt numFmtId="166" formatCode="[$PKR]\ #,##0.0"/>
      <alignment horizontal="left" vertical="bottom"/>
    </dxf>
    <dxf>
      <numFmt numFmtId="166" formatCode="[$PKR]\ #,##0.0"/>
      <alignment horizontal="left" vertical="bottom"/>
    </dxf>
    <dxf>
      <numFmt numFmtId="166" formatCode="[$PKR]\ #,##0.0"/>
      <alignment horizontal="left" vertical="bottom"/>
    </dxf>
    <dxf>
      <numFmt numFmtId="166" formatCode="[$PKR]\ #,##0.0"/>
      <alignment horizontal="left" vertical="bottom"/>
    </dxf>
    <dxf>
      <alignment horizontal="left" vertical="bottom"/>
    </dxf>
    <dxf>
      <alignment horizontal="left" vertical="bottom"/>
    </dxf>
    <dxf>
      <alignment horizontal="left" vertical="bottom"/>
    </dxf>
    <dxf>
      <alignment horizontal="left" vertical="bottom"/>
    </dxf>
    <dxf>
      <numFmt numFmtId="19" formatCode="m/d/yyyy"/>
      <alignment horizontal="left" vertical="bottom"/>
    </dxf>
    <dxf>
      <numFmt numFmtId="19" formatCode="m/d/yyyy"/>
      <alignment horizontal="left" vertical="bottom"/>
    </dxf>
    <dxf>
      <alignment horizontal="left" vertical="bottom"/>
    </dxf>
    <dxf>
      <alignment horizontal="left" vertical="bottom"/>
    </dxf>
    <dxf>
      <alignment horizontal="left" vertical="bottom"/>
    </dxf>
    <dxf>
      <font>
        <b/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  <scheme val="minor"/>
      </font>
      <fill>
        <patternFill>
          <fgColor indexed="64"/>
          <bgColor theme="2" tint="-0.249977111117893"/>
        </patternFill>
      </fill>
      <alignment horizontal="center" vertical="center"/>
    </dxf>
    <dxf>
      <numFmt numFmtId="164" formatCode="0.0"/>
      <alignment horizontal="left" vertical="bottom"/>
    </dxf>
    <dxf>
      <numFmt numFmtId="164" formatCode="0.0"/>
      <alignment horizontal="left" vertical="bottom"/>
    </dxf>
    <dxf>
      <alignment horizontal="left" vertical="bottom"/>
    </dxf>
    <dxf>
      <alignment horizontal="left" vertical="bottom"/>
    </dxf>
    <dxf>
      <numFmt numFmtId="19" formatCode="m/d/yyyy"/>
      <alignment horizontal="left" vertical="bottom"/>
    </dxf>
    <dxf>
      <alignment horizontal="left" vertical="bottom"/>
    </dxf>
    <dxf>
      <alignment horizontal="left" vertical="bottom"/>
    </dxf>
    <dxf>
      <font>
        <b/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center" vertical="center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25.885107638889" createdVersion="8" refreshedVersion="8" minRefreshableVersion="3" recordCount="300" xr:uid="{00000000-000A-0000-FFFF-FFFF00000000}">
  <cacheSource type="worksheet">
    <worksheetSource name="Table14"/>
  </cacheSource>
  <cacheFields count="22">
    <cacheField name="OrderID" numFmtId="0">
      <sharedItems containsSemiMixedTypes="0" containsString="0" containsNumber="1" containsInteger="1" minValue="1001" maxValue="1300"/>
    </cacheField>
    <cacheField name="OrderDate" numFmtId="14">
      <sharedItems containsSemiMixedTypes="0" containsNonDate="0" containsDate="1" containsString="0" minDate="2025-01-01T00:00:00" maxDate="2026-06-26T00:00:00"/>
    </cacheField>
    <cacheField name="Region" numFmtId="0">
      <sharedItems count="4">
        <s v="South"/>
        <s v="West"/>
        <s v="East"/>
        <s v="North"/>
      </sharedItems>
    </cacheField>
    <cacheField name="Salesperson" numFmtId="0">
      <sharedItems count="6">
        <s v="Ayesha"/>
        <s v="Hina"/>
        <s v="Sara"/>
        <s v="Bilal"/>
        <s v="Ahmed"/>
        <s v="Ali"/>
      </sharedItems>
    </cacheField>
    <cacheField name="Customer" numFmtId="0">
      <sharedItems/>
    </cacheField>
    <cacheField name="Category" numFmtId="0">
      <sharedItems count="3">
        <s v="Electronics"/>
        <s v="Office"/>
        <s v="Furniture"/>
      </sharedItems>
    </cacheField>
    <cacheField name="Product" numFmtId="0">
      <sharedItems count="9">
        <s v="Laptop"/>
        <s v="Desk"/>
        <s v="Mouse"/>
        <s v="Cabinet"/>
        <s v="Chair"/>
        <s v="Keyboard"/>
        <s v="Shelf"/>
        <s v="Table"/>
        <s v="Paper"/>
      </sharedItems>
    </cacheField>
    <cacheField name="Quantity" numFmtId="0">
      <sharedItems containsString="0" containsBlank="1" containsNumber="1" containsInteger="1" minValue="1" maxValue="15"/>
    </cacheField>
    <cacheField name="UnitPrice" numFmtId="0">
      <sharedItems containsSemiMixedTypes="0" containsString="0" containsNumber="1" minValue="13.57" maxValue="1198.32"/>
    </cacheField>
    <cacheField name="Discount" numFmtId="0">
      <sharedItems containsSemiMixedTypes="0" containsString="0" containsNumber="1" minValue="0" maxValue="0.15"/>
    </cacheField>
    <cacheField name="Revenue" numFmtId="166">
      <sharedItems containsSemiMixedTypes="0" containsString="0" containsNumber="1" minValue="15.14" maxValue="15681.15"/>
    </cacheField>
    <cacheField name="Payment" numFmtId="0">
      <sharedItems count="3">
        <s v="Bank"/>
        <s v="Card"/>
        <s v="Cash"/>
      </sharedItems>
    </cacheField>
    <cacheField name="Status" numFmtId="0">
      <sharedItems count="3">
        <s v="Completed"/>
        <s v="Returned"/>
        <s v="Pending"/>
      </sharedItems>
    </cacheField>
    <cacheField name="Revenue check" numFmtId="166">
      <sharedItems containsSemiMixedTypes="0" containsString="0" containsNumber="1" minValue="0" maxValue="15681.15"/>
    </cacheField>
    <cacheField name="YEAR" numFmtId="0">
      <sharedItems containsSemiMixedTypes="0" containsString="0" containsNumber="1" containsInteger="1" minValue="2025" maxValue="2026"/>
    </cacheField>
    <cacheField name="Month name" numFmtId="0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Quarter" numFmtId="0">
      <sharedItems count="4">
        <s v="Q1"/>
        <s v="Q2"/>
        <s v="Q3"/>
        <s v="Q4"/>
      </sharedItems>
    </cacheField>
    <cacheField name="Profit" numFmtId="164">
      <sharedItems containsSemiMixedTypes="0" containsString="0" containsNumber="1" minValue="3.7850000000000001" maxValue="3920.2874999999999"/>
    </cacheField>
    <cacheField name="VAT" numFmtId="164">
      <sharedItems containsSemiMixedTypes="0" containsString="0" containsNumber="1" minValue="2.7252000000000001" maxValue="2822.607"/>
    </cacheField>
    <cacheField name="NET Revenue" numFmtId="166">
      <sharedItems containsSemiMixedTypes="0" containsString="0" containsNumber="1" minValue="12.4148" maxValue="12858.543"/>
    </cacheField>
    <cacheField name="Revenue Category" numFmtId="164">
      <sharedItems/>
    </cacheField>
    <cacheField name="AVG  ORDER VAL" numFmtId="164">
      <sharedItems containsString="0" containsBlank="1" containsNumber="1" minValue="4336.2769330000001" maxValue="4336.276933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300">
  <r>
    <n v="1044"/>
    <d v="2025-01-01T00:00:00"/>
    <x v="0"/>
    <x v="0"/>
    <s v="Customer_2"/>
    <x v="0"/>
    <x v="0"/>
    <n v="9"/>
    <n v="335.89"/>
    <n v="0"/>
    <n v="3023.01"/>
    <x v="0"/>
    <x v="0"/>
    <n v="3023.01"/>
    <n v="2025"/>
    <x v="0"/>
    <x v="0"/>
    <n v="755.7525000000001"/>
    <n v="544.1418"/>
    <n v="2478.8682"/>
    <s v="Low"/>
    <n v="4336.276933"/>
  </r>
  <r>
    <n v="1276"/>
    <d v="2025-01-01T00:00:00"/>
    <x v="1"/>
    <x v="1"/>
    <s v="Customer_37"/>
    <x v="1"/>
    <x v="1"/>
    <n v="4"/>
    <n v="674.92"/>
    <n v="0"/>
    <n v="2699.68"/>
    <x v="0"/>
    <x v="1"/>
    <n v="2699.68"/>
    <n v="2025"/>
    <x v="0"/>
    <x v="0"/>
    <n v="674.92"/>
    <n v="485.9424"/>
    <n v="2213.7376"/>
    <s v="Low"/>
    <m/>
  </r>
  <r>
    <n v="1210"/>
    <d v="2025-01-06T00:00:00"/>
    <x v="2"/>
    <x v="2"/>
    <s v="Customer_13"/>
    <x v="0"/>
    <x v="2"/>
    <n v="13"/>
    <n v="519.66"/>
    <n v="0.15"/>
    <n v="5742.24"/>
    <x v="0"/>
    <x v="1"/>
    <n v="5742.242999999999"/>
    <n v="2025"/>
    <x v="0"/>
    <x v="0"/>
    <n v="1435.56"/>
    <n v="1033.6032"/>
    <n v="4708.6368"/>
    <s v="Medium"/>
    <m/>
  </r>
  <r>
    <n v="1071"/>
    <d v="2025-01-12T00:00:00"/>
    <x v="0"/>
    <x v="3"/>
    <s v="Customer_30"/>
    <x v="2"/>
    <x v="3"/>
    <n v="8"/>
    <n v="1086.66"/>
    <n v="0.15"/>
    <n v="7389.29"/>
    <x v="1"/>
    <x v="2"/>
    <n v="7389.288"/>
    <n v="2025"/>
    <x v="0"/>
    <x v="0"/>
    <n v="1847.3225"/>
    <n v="1330.0722"/>
    <n v="6059.2178"/>
    <s v="Medium"/>
    <m/>
  </r>
  <r>
    <n v="1026"/>
    <d v="2025-01-13T00:00:00"/>
    <x v="2"/>
    <x v="1"/>
    <s v="Customer_52"/>
    <x v="1"/>
    <x v="4"/>
    <n v="14"/>
    <n v="40.02"/>
    <n v="0.15"/>
    <n v="476.24"/>
    <x v="2"/>
    <x v="2"/>
    <n v="476.2380000000001"/>
    <n v="2025"/>
    <x v="0"/>
    <x v="0"/>
    <n v="119.06"/>
    <n v="85.72319999999999"/>
    <n v="390.5168"/>
    <s v="Low"/>
    <m/>
  </r>
  <r>
    <n v="1222"/>
    <d v="2025-01-15T00:00:00"/>
    <x v="0"/>
    <x v="3"/>
    <s v="Customer_76"/>
    <x v="0"/>
    <x v="0"/>
    <n v="9"/>
    <n v="148.43"/>
    <n v="0"/>
    <n v="1335.87"/>
    <x v="1"/>
    <x v="2"/>
    <n v="1335.87"/>
    <n v="2025"/>
    <x v="0"/>
    <x v="0"/>
    <n v="333.9675"/>
    <n v="240.4566"/>
    <n v="1095.4134"/>
    <s v="Low"/>
    <m/>
  </r>
  <r>
    <n v="1147"/>
    <d v="2025-01-16T00:00:00"/>
    <x v="2"/>
    <x v="2"/>
    <s v="Customer_31"/>
    <x v="1"/>
    <x v="4"/>
    <n v="9"/>
    <n v="96.87"/>
    <n v="0.05"/>
    <n v="828.24"/>
    <x v="2"/>
    <x v="2"/>
    <n v="828.2385"/>
    <n v="2025"/>
    <x v="0"/>
    <x v="0"/>
    <n v="207.06"/>
    <n v="149.0832"/>
    <n v="679.1568"/>
    <s v="Low"/>
    <m/>
  </r>
  <r>
    <n v="1069"/>
    <d v="2025-01-17T00:00:00"/>
    <x v="0"/>
    <x v="3"/>
    <s v="Customer_3"/>
    <x v="0"/>
    <x v="0"/>
    <n v="4"/>
    <n v="644.4400000000001"/>
    <n v="0.05"/>
    <n v="2448.87"/>
    <x v="0"/>
    <x v="1"/>
    <n v="2448.872"/>
    <n v="2025"/>
    <x v="0"/>
    <x v="0"/>
    <n v="612.2175"/>
    <n v="440.7966"/>
    <n v="2008.0734"/>
    <s v="Low"/>
    <m/>
  </r>
  <r>
    <n v="1090"/>
    <d v="2025-01-18T00:00:00"/>
    <x v="3"/>
    <x v="0"/>
    <s v="Customer_1"/>
    <x v="2"/>
    <x v="3"/>
    <n v="9"/>
    <n v="113.96"/>
    <n v="0.05"/>
    <n v="974.36"/>
    <x v="0"/>
    <x v="2"/>
    <n v="974.3579999999998"/>
    <n v="2025"/>
    <x v="0"/>
    <x v="0"/>
    <n v="243.59"/>
    <n v="175.3848"/>
    <n v="798.9752000000001"/>
    <s v="Low"/>
    <m/>
  </r>
  <r>
    <n v="1078"/>
    <d v="2025-01-20T00:00:00"/>
    <x v="0"/>
    <x v="1"/>
    <s v="Customer_33"/>
    <x v="0"/>
    <x v="5"/>
    <n v="13"/>
    <n v="56.99"/>
    <n v="0.1"/>
    <n v="666.78"/>
    <x v="0"/>
    <x v="1"/>
    <n v="666.783"/>
    <n v="2025"/>
    <x v="0"/>
    <x v="0"/>
    <n v="166.695"/>
    <n v="120.0204"/>
    <n v="546.7596"/>
    <s v="Low"/>
    <m/>
  </r>
  <r>
    <n v="1143"/>
    <d v="2025-01-20T00:00:00"/>
    <x v="2"/>
    <x v="4"/>
    <s v="Customer_26"/>
    <x v="1"/>
    <x v="4"/>
    <n v="6"/>
    <n v="596.54"/>
    <n v="0.15"/>
    <n v="3042.35"/>
    <x v="2"/>
    <x v="1"/>
    <n v="3042.354"/>
    <n v="2025"/>
    <x v="0"/>
    <x v="0"/>
    <n v="760.5875"/>
    <n v="547.6229999999999"/>
    <n v="2494.727"/>
    <s v="Low"/>
    <m/>
  </r>
  <r>
    <n v="1270"/>
    <d v="2025-01-22T00:00:00"/>
    <x v="2"/>
    <x v="3"/>
    <s v="Customer_67"/>
    <x v="0"/>
    <x v="2"/>
    <n v="1"/>
    <n v="1107.91"/>
    <n v="0.15"/>
    <n v="941.72"/>
    <x v="1"/>
    <x v="0"/>
    <n v="941.7235000000001"/>
    <n v="2025"/>
    <x v="0"/>
    <x v="0"/>
    <n v="235.43"/>
    <n v="169.5096"/>
    <n v="772.2104"/>
    <s v="Low"/>
    <m/>
  </r>
  <r>
    <n v="1160"/>
    <d v="2025-01-23T00:00:00"/>
    <x v="0"/>
    <x v="1"/>
    <s v="Customer_48"/>
    <x v="2"/>
    <x v="3"/>
    <n v="4"/>
    <n v="986.26"/>
    <n v="0"/>
    <n v="3945.04"/>
    <x v="2"/>
    <x v="1"/>
    <n v="3945.04"/>
    <n v="2025"/>
    <x v="0"/>
    <x v="0"/>
    <n v="986.26"/>
    <n v="710.1071999999999"/>
    <n v="3234.9328"/>
    <s v="Low"/>
    <m/>
  </r>
  <r>
    <n v="1051"/>
    <d v="2025-01-26T00:00:00"/>
    <x v="1"/>
    <x v="3"/>
    <s v="Customer_63"/>
    <x v="0"/>
    <x v="2"/>
    <n v="5"/>
    <n v="30.22"/>
    <n v="0.1"/>
    <n v="135.99"/>
    <x v="1"/>
    <x v="1"/>
    <n v="135.99"/>
    <n v="2025"/>
    <x v="0"/>
    <x v="0"/>
    <n v="33.9975"/>
    <n v="24.4782"/>
    <n v="111.5118"/>
    <s v="Low"/>
    <m/>
  </r>
  <r>
    <n v="1221"/>
    <d v="2025-01-27T00:00:00"/>
    <x v="1"/>
    <x v="1"/>
    <s v="Customer_42"/>
    <x v="2"/>
    <x v="6"/>
    <n v="9"/>
    <n v="594.99"/>
    <n v="0.1"/>
    <n v="4819.42"/>
    <x v="2"/>
    <x v="1"/>
    <n v="4819.419"/>
    <n v="2025"/>
    <x v="0"/>
    <x v="0"/>
    <n v="1204.855"/>
    <n v="867.4956"/>
    <n v="3951.9244"/>
    <s v="Low"/>
    <m/>
  </r>
  <r>
    <n v="1274"/>
    <d v="2025-01-31T00:00:00"/>
    <x v="3"/>
    <x v="5"/>
    <s v="Customer_29"/>
    <x v="0"/>
    <x v="5"/>
    <n v="2"/>
    <n v="136.45"/>
    <n v="0.05"/>
    <n v="259.25"/>
    <x v="0"/>
    <x v="0"/>
    <n v="259.2549999999999"/>
    <n v="2025"/>
    <x v="0"/>
    <x v="0"/>
    <n v="64.8125"/>
    <n v="46.665"/>
    <n v="212.585"/>
    <s v="Low"/>
    <m/>
  </r>
  <r>
    <n v="1115"/>
    <d v="2025-02-01T00:00:00"/>
    <x v="3"/>
    <x v="0"/>
    <s v="Customer_57"/>
    <x v="0"/>
    <x v="5"/>
    <n v="4"/>
    <n v="871.29"/>
    <n v="0"/>
    <n v="3485.16"/>
    <x v="1"/>
    <x v="0"/>
    <n v="3485.16"/>
    <n v="2025"/>
    <x v="1"/>
    <x v="0"/>
    <n v="871.29"/>
    <n v="627.3288"/>
    <n v="2857.8312"/>
    <s v="Low"/>
    <m/>
  </r>
  <r>
    <n v="1220"/>
    <d v="2025-02-03T00:00:00"/>
    <x v="0"/>
    <x v="5"/>
    <s v="Customer_49"/>
    <x v="0"/>
    <x v="5"/>
    <n v="3"/>
    <n v="551.41"/>
    <n v="0.1"/>
    <n v="1488.81"/>
    <x v="0"/>
    <x v="2"/>
    <n v="1488.807"/>
    <n v="2025"/>
    <x v="1"/>
    <x v="0"/>
    <n v="372.2025"/>
    <n v="267.9858"/>
    <n v="1220.8242"/>
    <s v="Low"/>
    <m/>
  </r>
  <r>
    <n v="1059"/>
    <d v="2025-02-06T00:00:00"/>
    <x v="0"/>
    <x v="0"/>
    <s v="Customer_5 "/>
    <x v="0"/>
    <x v="0"/>
    <n v="10"/>
    <n v="951.95"/>
    <n v="0"/>
    <n v="9519.5"/>
    <x v="0"/>
    <x v="0"/>
    <n v="9519.5"/>
    <n v="2025"/>
    <x v="1"/>
    <x v="0"/>
    <n v="2379.875"/>
    <n v="1713.51"/>
    <n v="7805.99"/>
    <s v="Medium"/>
    <m/>
  </r>
  <r>
    <n v="1018"/>
    <d v="2025-02-10T00:00:00"/>
    <x v="0"/>
    <x v="1"/>
    <s v="Customer_6"/>
    <x v="2"/>
    <x v="6"/>
    <n v="8"/>
    <n v="823.28"/>
    <n v="0.1"/>
    <n v="5927.62"/>
    <x v="1"/>
    <x v="2"/>
    <n v="5927.616"/>
    <n v="2025"/>
    <x v="1"/>
    <x v="0"/>
    <n v="1481.905"/>
    <n v="1066.9716"/>
    <n v="4860.6484"/>
    <s v="Medium"/>
    <m/>
  </r>
  <r>
    <n v="1177"/>
    <d v="2025-02-13T00:00:00"/>
    <x v="3"/>
    <x v="3"/>
    <s v="Customer_6"/>
    <x v="2"/>
    <x v="6"/>
    <n v="15"/>
    <n v="486.05"/>
    <n v="0.05"/>
    <n v="6926.21"/>
    <x v="2"/>
    <x v="2"/>
    <n v="6926.2125"/>
    <n v="2025"/>
    <x v="1"/>
    <x v="0"/>
    <n v="1731.5525"/>
    <n v="1246.7178"/>
    <n v="5679.492200000001"/>
    <s v="Medium"/>
    <m/>
  </r>
  <r>
    <n v="1061"/>
    <d v="2025-02-15T00:00:00"/>
    <x v="0"/>
    <x v="0"/>
    <s v="Customer_35"/>
    <x v="2"/>
    <x v="7"/>
    <n v="5"/>
    <n v="769.03"/>
    <n v="0.1"/>
    <n v="3460.63"/>
    <x v="1"/>
    <x v="0"/>
    <n v="3460.635"/>
    <n v="2025"/>
    <x v="1"/>
    <x v="0"/>
    <n v="865.1575"/>
    <n v="622.9134"/>
    <n v="2837.7166"/>
    <s v="Low"/>
    <m/>
  </r>
  <r>
    <n v="1170"/>
    <d v="2025-02-15T00:00:00"/>
    <x v="1"/>
    <x v="5"/>
    <s v="Customer_62"/>
    <x v="1"/>
    <x v="8"/>
    <n v="3"/>
    <n v="767.25"/>
    <n v="0.15"/>
    <n v="1956.49"/>
    <x v="2"/>
    <x v="0"/>
    <n v="1956.4875"/>
    <n v="2025"/>
    <x v="1"/>
    <x v="0"/>
    <n v="489.1225"/>
    <n v="352.1682"/>
    <n v="1604.3218"/>
    <s v="Low"/>
    <m/>
  </r>
  <r>
    <n v="1299"/>
    <d v="2025-02-19T00:00:00"/>
    <x v="2"/>
    <x v="5"/>
    <s v="Customer_35"/>
    <x v="0"/>
    <x v="5"/>
    <n v="1"/>
    <n v="127.11"/>
    <n v="0.1"/>
    <n v="114.4"/>
    <x v="0"/>
    <x v="1"/>
    <n v="114.399"/>
    <n v="2025"/>
    <x v="1"/>
    <x v="0"/>
    <n v="28.6"/>
    <n v="20.592"/>
    <n v="93.80800000000001"/>
    <s v="Low"/>
    <m/>
  </r>
  <r>
    <n v="1060"/>
    <d v="2025-02-23T00:00:00"/>
    <x v="1"/>
    <x v="3"/>
    <s v="Customer_34"/>
    <x v="2"/>
    <x v="3"/>
    <n v="14"/>
    <n v="763.63"/>
    <n v="0"/>
    <n v="10690.82"/>
    <x v="1"/>
    <x v="0"/>
    <n v="10690.82"/>
    <n v="2025"/>
    <x v="1"/>
    <x v="0"/>
    <n v="2672.705"/>
    <n v="1924.3476"/>
    <n v="8766.472400000001"/>
    <s v="High"/>
    <m/>
  </r>
  <r>
    <n v="1164"/>
    <d v="2025-02-23T00:00:00"/>
    <x v="1"/>
    <x v="2"/>
    <s v="Customer_4"/>
    <x v="2"/>
    <x v="3"/>
    <n v="9"/>
    <n v="724.9299999999999"/>
    <n v="0.1"/>
    <n v="5871.93"/>
    <x v="0"/>
    <x v="0"/>
    <n v="5871.933"/>
    <n v="2025"/>
    <x v="1"/>
    <x v="0"/>
    <n v="1467.9825"/>
    <n v="1056.9474"/>
    <n v="4814.9826"/>
    <s v="Medium"/>
    <m/>
  </r>
  <r>
    <n v="1286"/>
    <d v="2025-02-23T00:00:00"/>
    <x v="0"/>
    <x v="5"/>
    <s v="Customer_54"/>
    <x v="0"/>
    <x v="0"/>
    <n v="7"/>
    <n v="770.1"/>
    <n v="0.15"/>
    <n v="4582.09"/>
    <x v="1"/>
    <x v="1"/>
    <n v="4582.094999999999"/>
    <n v="2025"/>
    <x v="1"/>
    <x v="0"/>
    <n v="1145.5225"/>
    <n v="824.7762"/>
    <n v="3757.3138"/>
    <s v="Low"/>
    <m/>
  </r>
  <r>
    <n v="1017"/>
    <d v="2025-02-24T00:00:00"/>
    <x v="3"/>
    <x v="5"/>
    <s v="Customer_61"/>
    <x v="2"/>
    <x v="3"/>
    <n v="4"/>
    <n v="432.55"/>
    <n v="0"/>
    <n v="1730.2"/>
    <x v="0"/>
    <x v="2"/>
    <n v="1730.2"/>
    <n v="2025"/>
    <x v="1"/>
    <x v="0"/>
    <n v="432.55"/>
    <n v="311.436"/>
    <n v="1418.764"/>
    <s v="Low"/>
    <m/>
  </r>
  <r>
    <n v="1113"/>
    <d v="2025-02-25T00:00:00"/>
    <x v="3"/>
    <x v="4"/>
    <s v="Customer_49"/>
    <x v="0"/>
    <x v="0"/>
    <n v="15"/>
    <n v="213.05"/>
    <n v="0.1"/>
    <n v="2876.18"/>
    <x v="2"/>
    <x v="2"/>
    <n v="2876.175"/>
    <n v="2025"/>
    <x v="1"/>
    <x v="0"/>
    <n v="719.045"/>
    <n v="517.7124"/>
    <n v="2358.4676"/>
    <s v="Low"/>
    <m/>
  </r>
  <r>
    <n v="1154"/>
    <d v="2025-02-26T00:00:00"/>
    <x v="0"/>
    <x v="2"/>
    <s v="Customer_9"/>
    <x v="2"/>
    <x v="6"/>
    <n v="6"/>
    <n v="723.46"/>
    <n v="0.1"/>
    <n v="3906.68"/>
    <x v="1"/>
    <x v="1"/>
    <n v="3906.684"/>
    <n v="2025"/>
    <x v="1"/>
    <x v="0"/>
    <n v="976.67"/>
    <n v="703.2023999999999"/>
    <n v="3203.4776"/>
    <s v="Low"/>
    <m/>
  </r>
  <r>
    <n v="1272"/>
    <d v="2025-02-27T00:00:00"/>
    <x v="0"/>
    <x v="2"/>
    <s v="Customer_64"/>
    <x v="0"/>
    <x v="0"/>
    <n v="2"/>
    <n v="711.63"/>
    <n v="0.1"/>
    <n v="1280.93"/>
    <x v="1"/>
    <x v="2"/>
    <n v="1280.934"/>
    <n v="2025"/>
    <x v="1"/>
    <x v="0"/>
    <n v="320.2325"/>
    <n v="230.5674"/>
    <n v="1050.3626"/>
    <s v="Low"/>
    <m/>
  </r>
  <r>
    <n v="1116"/>
    <d v="2025-03-02T00:00:00"/>
    <x v="2"/>
    <x v="4"/>
    <s v="Customer_51"/>
    <x v="2"/>
    <x v="6"/>
    <n v="12"/>
    <n v="483.26"/>
    <n v="0.15"/>
    <n v="4929.25"/>
    <x v="2"/>
    <x v="2"/>
    <n v="4929.251999999999"/>
    <n v="2025"/>
    <x v="2"/>
    <x v="0"/>
    <n v="1232.3125"/>
    <n v="887.265"/>
    <n v="4041.985"/>
    <s v="Low"/>
    <m/>
  </r>
  <r>
    <n v="1024"/>
    <d v="2025-03-04T00:00:00"/>
    <x v="2"/>
    <x v="3"/>
    <s v="Customer_80"/>
    <x v="2"/>
    <x v="6"/>
    <n v="15"/>
    <n v="310.61"/>
    <n v="0"/>
    <n v="4659.15"/>
    <x v="2"/>
    <x v="2"/>
    <n v="4659.150000000001"/>
    <n v="2025"/>
    <x v="2"/>
    <x v="0"/>
    <n v="1164.7875"/>
    <n v="838.6469999999999"/>
    <n v="3820.503"/>
    <s v="Low"/>
    <m/>
  </r>
  <r>
    <n v="1300"/>
    <d v="2025-03-04T00:00:00"/>
    <x v="1"/>
    <x v="5"/>
    <s v="Customer_38"/>
    <x v="1"/>
    <x v="1"/>
    <n v="8"/>
    <n v="435.43"/>
    <n v="0.15"/>
    <n v="2960.92"/>
    <x v="0"/>
    <x v="2"/>
    <n v="2960.924"/>
    <n v="2025"/>
    <x v="2"/>
    <x v="0"/>
    <n v="740.23"/>
    <n v="532.9656"/>
    <n v="2427.9544"/>
    <s v="Low"/>
    <m/>
  </r>
  <r>
    <n v="1292"/>
    <d v="2025-03-06T00:00:00"/>
    <x v="3"/>
    <x v="5"/>
    <s v="Customer_53"/>
    <x v="2"/>
    <x v="7"/>
    <n v="13"/>
    <n v="1047.26"/>
    <n v="0.05"/>
    <n v="12933.66"/>
    <x v="2"/>
    <x v="2"/>
    <n v="12933.661"/>
    <n v="2025"/>
    <x v="2"/>
    <x v="0"/>
    <n v="3233.415"/>
    <n v="2328.0588"/>
    <n v="10605.6012"/>
    <s v="High"/>
    <m/>
  </r>
  <r>
    <n v="1020"/>
    <d v="2025-03-07T00:00:00"/>
    <x v="3"/>
    <x v="1"/>
    <s v="Customer_35"/>
    <x v="2"/>
    <x v="6"/>
    <n v="3"/>
    <n v="128.86"/>
    <n v="0.1"/>
    <n v="347.92"/>
    <x v="0"/>
    <x v="1"/>
    <n v="347.922"/>
    <n v="2025"/>
    <x v="2"/>
    <x v="0"/>
    <n v="86.98"/>
    <n v="62.6256"/>
    <n v="285.2944"/>
    <s v="Low"/>
    <m/>
  </r>
  <r>
    <n v="1188"/>
    <d v="2025-03-13T00:00:00"/>
    <x v="2"/>
    <x v="4"/>
    <s v="Customer_52"/>
    <x v="0"/>
    <x v="0"/>
    <n v="7"/>
    <n v="737.42"/>
    <n v="0.1"/>
    <n v="4645.75"/>
    <x v="0"/>
    <x v="2"/>
    <n v="4645.746"/>
    <n v="2025"/>
    <x v="2"/>
    <x v="0"/>
    <n v="1161.4375"/>
    <n v="836.235"/>
    <n v="3809.515"/>
    <s v="Low"/>
    <m/>
  </r>
  <r>
    <n v="1139"/>
    <d v="2025-03-15T00:00:00"/>
    <x v="0"/>
    <x v="3"/>
    <s v="Customer_71"/>
    <x v="1"/>
    <x v="4"/>
    <n v="13"/>
    <n v="96.33"/>
    <n v="0.15"/>
    <n v="1064.45"/>
    <x v="1"/>
    <x v="1"/>
    <n v="1064.4465"/>
    <n v="2025"/>
    <x v="2"/>
    <x v="0"/>
    <n v="266.1125"/>
    <n v="191.601"/>
    <n v="872.849"/>
    <s v="Low"/>
    <m/>
  </r>
  <r>
    <n v="1243"/>
    <d v="2025-03-15T00:00:00"/>
    <x v="3"/>
    <x v="0"/>
    <s v="Customer_10"/>
    <x v="0"/>
    <x v="0"/>
    <n v="11"/>
    <n v="462.44"/>
    <n v="0"/>
    <n v="5086.84"/>
    <x v="2"/>
    <x v="2"/>
    <n v="5086.84"/>
    <n v="2025"/>
    <x v="2"/>
    <x v="0"/>
    <n v="1271.71"/>
    <n v="915.6312"/>
    <n v="4171.2088"/>
    <s v="Medium"/>
    <m/>
  </r>
  <r>
    <n v="1095"/>
    <d v="2025-03-22T00:00:00"/>
    <x v="2"/>
    <x v="0"/>
    <s v="Customer_12"/>
    <x v="0"/>
    <x v="0"/>
    <n v="10"/>
    <n v="997.84"/>
    <n v="0"/>
    <n v="9978.4"/>
    <x v="1"/>
    <x v="0"/>
    <n v="9978.4"/>
    <n v="2025"/>
    <x v="2"/>
    <x v="0"/>
    <n v="2494.6"/>
    <n v="1796.112"/>
    <n v="8182.288"/>
    <s v="Medium"/>
    <m/>
  </r>
  <r>
    <n v="1046"/>
    <d v="2025-03-23T00:00:00"/>
    <x v="0"/>
    <x v="5"/>
    <s v="Customer_25"/>
    <x v="0"/>
    <x v="5"/>
    <n v="15"/>
    <n v="24.1"/>
    <n v="0.15"/>
    <n v="307.27"/>
    <x v="0"/>
    <x v="0"/>
    <n v="307.275"/>
    <n v="2025"/>
    <x v="2"/>
    <x v="0"/>
    <n v="76.8175"/>
    <n v="55.30859999999999"/>
    <n v="251.9614"/>
    <s v="Low"/>
    <m/>
  </r>
  <r>
    <n v="1100"/>
    <d v="2025-03-23T00:00:00"/>
    <x v="3"/>
    <x v="0"/>
    <s v="Customer_40"/>
    <x v="0"/>
    <x v="2"/>
    <n v="12"/>
    <n v="275.45"/>
    <n v="0"/>
    <n v="3305.4"/>
    <x v="1"/>
    <x v="1"/>
    <n v="3305.4"/>
    <n v="2025"/>
    <x v="2"/>
    <x v="0"/>
    <n v="826.35"/>
    <n v="594.972"/>
    <n v="2710.428"/>
    <s v="Low"/>
    <m/>
  </r>
  <r>
    <n v="1131"/>
    <d v="2025-03-23T00:00:00"/>
    <x v="2"/>
    <x v="1"/>
    <s v="Customer_13"/>
    <x v="1"/>
    <x v="4"/>
    <n v="3"/>
    <n v="976.39"/>
    <n v="0.05"/>
    <n v="2782.71"/>
    <x v="1"/>
    <x v="2"/>
    <n v="2782.7115"/>
    <n v="2025"/>
    <x v="2"/>
    <x v="0"/>
    <n v="695.6775"/>
    <n v="500.8878"/>
    <n v="2281.8222"/>
    <s v="Low"/>
    <m/>
  </r>
  <r>
    <n v="1050"/>
    <d v="2025-03-26T00:00:00"/>
    <x v="0"/>
    <x v="2"/>
    <s v="Customer_72"/>
    <x v="1"/>
    <x v="4"/>
    <n v="15"/>
    <n v="527.89"/>
    <n v="0.1"/>
    <n v="7126.51"/>
    <x v="2"/>
    <x v="1"/>
    <n v="7126.514999999999"/>
    <n v="2025"/>
    <x v="2"/>
    <x v="0"/>
    <n v="1781.6275"/>
    <n v="1282.7718"/>
    <n v="5843.7382"/>
    <s v="Medium"/>
    <m/>
  </r>
  <r>
    <n v="1288"/>
    <d v="2025-03-26T00:00:00"/>
    <x v="1"/>
    <x v="3"/>
    <s v="Customer_56"/>
    <x v="0"/>
    <x v="0"/>
    <n v="14"/>
    <n v="40.82"/>
    <n v="0.05"/>
    <n v="542.91"/>
    <x v="2"/>
    <x v="2"/>
    <n v="542.9059999999999"/>
    <n v="2025"/>
    <x v="2"/>
    <x v="0"/>
    <n v="135.7275"/>
    <n v="97.7238"/>
    <n v="445.1862"/>
    <s v="Low"/>
    <m/>
  </r>
  <r>
    <n v="1102"/>
    <d v="2025-03-29T00:00:00"/>
    <x v="3"/>
    <x v="2"/>
    <s v="Customer_67"/>
    <x v="2"/>
    <x v="3"/>
    <n v="5"/>
    <n v="129.84"/>
    <n v="0.05"/>
    <n v="616.74"/>
    <x v="2"/>
    <x v="1"/>
    <n v="616.74"/>
    <n v="2025"/>
    <x v="2"/>
    <x v="0"/>
    <n v="154.185"/>
    <n v="111.0132"/>
    <n v="505.7268"/>
    <s v="Low"/>
    <m/>
  </r>
  <r>
    <n v="1096"/>
    <d v="2025-03-31T00:00:00"/>
    <x v="1"/>
    <x v="0"/>
    <s v="Customer_25"/>
    <x v="2"/>
    <x v="6"/>
    <n v="9"/>
    <n v="60.43"/>
    <n v="0.15"/>
    <n v="462.29"/>
    <x v="1"/>
    <x v="1"/>
    <n v="462.2895"/>
    <n v="2025"/>
    <x v="2"/>
    <x v="0"/>
    <n v="115.5725"/>
    <n v="83.2122"/>
    <n v="379.0778"/>
    <s v="Low"/>
    <m/>
  </r>
  <r>
    <n v="1171"/>
    <d v="2025-04-01T00:00:00"/>
    <x v="3"/>
    <x v="3"/>
    <s v="Customer_33"/>
    <x v="2"/>
    <x v="6"/>
    <n v="8"/>
    <n v="1022.32"/>
    <n v="0"/>
    <n v="8178.56"/>
    <x v="1"/>
    <x v="1"/>
    <n v="8178.56"/>
    <n v="2025"/>
    <x v="3"/>
    <x v="1"/>
    <n v="2044.64"/>
    <n v="1472.1408"/>
    <n v="6706.4192"/>
    <s v="Medium"/>
    <m/>
  </r>
  <r>
    <n v="1255"/>
    <d v="2025-04-02T00:00:00"/>
    <x v="0"/>
    <x v="3"/>
    <s v="Customer_78"/>
    <x v="0"/>
    <x v="0"/>
    <n v="6"/>
    <n v="764.8200000000001"/>
    <n v="0.05"/>
    <n v="4359.47"/>
    <x v="1"/>
    <x v="2"/>
    <n v="4359.474"/>
    <n v="2025"/>
    <x v="3"/>
    <x v="1"/>
    <n v="1089.8675"/>
    <n v="784.7046"/>
    <n v="3574.7654"/>
    <s v="Low"/>
    <m/>
  </r>
  <r>
    <n v="1284"/>
    <d v="2025-04-03T00:00:00"/>
    <x v="2"/>
    <x v="3"/>
    <s v="Customer_56"/>
    <x v="0"/>
    <x v="5"/>
    <n v="8"/>
    <n v="495.46"/>
    <n v="0.1"/>
    <n v="3567.31"/>
    <x v="0"/>
    <x v="1"/>
    <n v="3567.312"/>
    <n v="2025"/>
    <x v="3"/>
    <x v="1"/>
    <n v="891.8275"/>
    <n v="642.1157999999999"/>
    <n v="2925.1942"/>
    <s v="Low"/>
    <m/>
  </r>
  <r>
    <n v="1052"/>
    <d v="2025-04-04T00:00:00"/>
    <x v="1"/>
    <x v="3"/>
    <s v="Customer_78"/>
    <x v="2"/>
    <x v="6"/>
    <n v="9"/>
    <n v="80.95"/>
    <n v="0"/>
    <n v="728.55"/>
    <x v="1"/>
    <x v="1"/>
    <n v="728.5500000000001"/>
    <n v="2025"/>
    <x v="3"/>
    <x v="1"/>
    <n v="182.1375"/>
    <n v="131.139"/>
    <n v="597.4109999999999"/>
    <s v="Low"/>
    <m/>
  </r>
  <r>
    <n v="1161"/>
    <d v="2025-04-06T00:00:00"/>
    <x v="2"/>
    <x v="4"/>
    <s v="Customer_56"/>
    <x v="1"/>
    <x v="4"/>
    <n v="6"/>
    <n v="1198.32"/>
    <n v="0.15"/>
    <n v="6111.43"/>
    <x v="2"/>
    <x v="2"/>
    <n v="6111.432"/>
    <n v="2025"/>
    <x v="3"/>
    <x v="1"/>
    <n v="1527.8575"/>
    <n v="1100.0574"/>
    <n v="5011.372600000001"/>
    <s v="Medium"/>
    <m/>
  </r>
  <r>
    <n v="1128"/>
    <d v="2025-04-08T00:00:00"/>
    <x v="3"/>
    <x v="5"/>
    <s v="Customer_35"/>
    <x v="2"/>
    <x v="7"/>
    <n v="7"/>
    <n v="1071.58"/>
    <n v="0.05"/>
    <n v="7126.01"/>
    <x v="1"/>
    <x v="2"/>
    <n v="7126.007"/>
    <n v="2025"/>
    <x v="3"/>
    <x v="1"/>
    <n v="1781.5025"/>
    <n v="1282.6818"/>
    <n v="5843.3282"/>
    <s v="Medium"/>
    <m/>
  </r>
  <r>
    <n v="1153"/>
    <d v="2025-04-09T00:00:00"/>
    <x v="2"/>
    <x v="2"/>
    <s v="Customer_63"/>
    <x v="1"/>
    <x v="4"/>
    <n v="10"/>
    <n v="644.11"/>
    <n v="0"/>
    <n v="6441.1"/>
    <x v="2"/>
    <x v="0"/>
    <n v="6441.1"/>
    <n v="2025"/>
    <x v="3"/>
    <x v="1"/>
    <n v="1610.275"/>
    <n v="1159.398"/>
    <n v="5281.702"/>
    <s v="Medium"/>
    <m/>
  </r>
  <r>
    <n v="1080"/>
    <d v="2025-04-10T00:00:00"/>
    <x v="0"/>
    <x v="5"/>
    <s v="Customer_16"/>
    <x v="2"/>
    <x v="7"/>
    <n v="15"/>
    <n v="507.31"/>
    <n v="0.1"/>
    <n v="6848.68"/>
    <x v="1"/>
    <x v="1"/>
    <n v="6848.684999999999"/>
    <n v="2025"/>
    <x v="3"/>
    <x v="1"/>
    <n v="1712.17"/>
    <n v="1232.7624"/>
    <n v="5615.917600000001"/>
    <s v="Medium"/>
    <m/>
  </r>
  <r>
    <n v="1107"/>
    <d v="2025-04-10T00:00:00"/>
    <x v="3"/>
    <x v="4"/>
    <s v="Customer_2"/>
    <x v="2"/>
    <x v="3"/>
    <n v="8"/>
    <n v="671.23"/>
    <n v="0.1"/>
    <n v="4832.86"/>
    <x v="0"/>
    <x v="2"/>
    <n v="4832.856000000001"/>
    <n v="2025"/>
    <x v="3"/>
    <x v="1"/>
    <n v="1208.215"/>
    <n v="869.9147999999999"/>
    <n v="3962.9452"/>
    <s v="Low"/>
    <m/>
  </r>
  <r>
    <n v="1101"/>
    <d v="2025-04-12T00:00:00"/>
    <x v="3"/>
    <x v="3"/>
    <s v="Customer_74"/>
    <x v="0"/>
    <x v="5"/>
    <n v="14"/>
    <n v="397.49"/>
    <n v="0.1"/>
    <n v="5008.37"/>
    <x v="2"/>
    <x v="1"/>
    <n v="5008.374000000001"/>
    <n v="2025"/>
    <x v="3"/>
    <x v="1"/>
    <n v="1252.0925"/>
    <n v="901.5065999999999"/>
    <n v="4106.8634"/>
    <s v="Medium"/>
    <m/>
  </r>
  <r>
    <n v="1033"/>
    <d v="2025-04-16T00:00:00"/>
    <x v="2"/>
    <x v="5"/>
    <s v="Customer_53"/>
    <x v="0"/>
    <x v="0"/>
    <n v="5"/>
    <n v="135.82"/>
    <n v="0.05"/>
    <n v="645.14"/>
    <x v="2"/>
    <x v="0"/>
    <n v="645.1449999999999"/>
    <n v="2025"/>
    <x v="3"/>
    <x v="1"/>
    <n v="161.285"/>
    <n v="116.1252"/>
    <n v="529.0148"/>
    <s v="Low"/>
    <m/>
  </r>
  <r>
    <n v="1063"/>
    <d v="2025-04-17T00:00:00"/>
    <x v="0"/>
    <x v="4"/>
    <s v="Customer_6"/>
    <x v="1"/>
    <x v="8"/>
    <n v="6"/>
    <n v="618.25"/>
    <n v="0.1"/>
    <n v="3338.55"/>
    <x v="1"/>
    <x v="0"/>
    <n v="3338.55"/>
    <n v="2025"/>
    <x v="3"/>
    <x v="1"/>
    <n v="834.6375"/>
    <n v="600.939"/>
    <n v="2737.611"/>
    <s v="Low"/>
    <m/>
  </r>
  <r>
    <n v="1216"/>
    <d v="2025-04-17T00:00:00"/>
    <x v="2"/>
    <x v="3"/>
    <s v="Customer_57"/>
    <x v="2"/>
    <x v="3"/>
    <n v="14"/>
    <n v="904.51"/>
    <n v="0.15"/>
    <n v="10763.67"/>
    <x v="2"/>
    <x v="0"/>
    <n v="10763.669"/>
    <n v="2025"/>
    <x v="3"/>
    <x v="1"/>
    <n v="2690.9175"/>
    <n v="1937.4606"/>
    <n v="8826.2094"/>
    <s v="High"/>
    <m/>
  </r>
  <r>
    <n v="1088"/>
    <d v="2025-04-18T00:00:00"/>
    <x v="2"/>
    <x v="5"/>
    <s v="Customer_48"/>
    <x v="1"/>
    <x v="4"/>
    <n v="11"/>
    <n v="966.5"/>
    <n v="0"/>
    <n v="10631.5"/>
    <x v="0"/>
    <x v="0"/>
    <n v="10631.5"/>
    <n v="2025"/>
    <x v="3"/>
    <x v="1"/>
    <n v="2657.875"/>
    <n v="1913.67"/>
    <n v="8717.83"/>
    <s v="High"/>
    <m/>
  </r>
  <r>
    <n v="1183"/>
    <d v="2025-04-20T00:00:00"/>
    <x v="0"/>
    <x v="4"/>
    <s v="Customer_32"/>
    <x v="2"/>
    <x v="3"/>
    <n v="1"/>
    <n v="1039.8"/>
    <n v="0.15"/>
    <n v="883.83"/>
    <x v="2"/>
    <x v="1"/>
    <n v="883.8299999999999"/>
    <n v="2025"/>
    <x v="3"/>
    <x v="1"/>
    <n v="220.9575"/>
    <n v="159.0894"/>
    <n v="724.7406000000001"/>
    <s v="Low"/>
    <m/>
  </r>
  <r>
    <n v="1159"/>
    <d v="2025-04-21T00:00:00"/>
    <x v="1"/>
    <x v="1"/>
    <s v="Customer_11"/>
    <x v="0"/>
    <x v="5"/>
    <n v="5"/>
    <n v="682.4"/>
    <n v="0.05"/>
    <n v="3241.4"/>
    <x v="1"/>
    <x v="1"/>
    <n v="3241.4"/>
    <n v="2025"/>
    <x v="3"/>
    <x v="1"/>
    <n v="810.35"/>
    <n v="583.452"/>
    <n v="2657.948"/>
    <s v="Low"/>
    <m/>
  </r>
  <r>
    <n v="1048"/>
    <d v="2025-04-22T00:00:00"/>
    <x v="2"/>
    <x v="4"/>
    <s v="Customer_44"/>
    <x v="2"/>
    <x v="3"/>
    <n v="14"/>
    <n v="766.3"/>
    <n v="0"/>
    <n v="10728.2"/>
    <x v="0"/>
    <x v="1"/>
    <n v="10728.2"/>
    <n v="2025"/>
    <x v="3"/>
    <x v="1"/>
    <n v="2682.05"/>
    <n v="1931.076"/>
    <n v="8797.124"/>
    <s v="High"/>
    <m/>
  </r>
  <r>
    <n v="1215"/>
    <d v="2025-04-23T00:00:00"/>
    <x v="0"/>
    <x v="0"/>
    <s v="Customer_4"/>
    <x v="2"/>
    <x v="7"/>
    <n v="10"/>
    <n v="79.92"/>
    <n v="0.1"/>
    <n v="719.28"/>
    <x v="0"/>
    <x v="0"/>
    <n v="719.2800000000001"/>
    <n v="2025"/>
    <x v="3"/>
    <x v="1"/>
    <n v="179.82"/>
    <n v="129.4704"/>
    <n v="589.8096"/>
    <s v="Low"/>
    <m/>
  </r>
  <r>
    <n v="1010"/>
    <d v="2025-04-24T00:00:00"/>
    <x v="0"/>
    <x v="3"/>
    <s v="Customer_60"/>
    <x v="1"/>
    <x v="8"/>
    <n v="2"/>
    <n v="759.34"/>
    <n v="0.05"/>
    <n v="1442.75"/>
    <x v="0"/>
    <x v="2"/>
    <n v="1442.746"/>
    <n v="2025"/>
    <x v="3"/>
    <x v="1"/>
    <n v="360.6875"/>
    <n v="259.695"/>
    <n v="1183.055"/>
    <s v="Low"/>
    <m/>
  </r>
  <r>
    <n v="1028"/>
    <d v="2025-04-28T00:00:00"/>
    <x v="0"/>
    <x v="0"/>
    <s v="Customer_76"/>
    <x v="2"/>
    <x v="3"/>
    <n v="11"/>
    <n v="505.67"/>
    <n v="0.15"/>
    <n v="4728.01"/>
    <x v="2"/>
    <x v="1"/>
    <n v="4728.0145"/>
    <n v="2025"/>
    <x v="3"/>
    <x v="1"/>
    <n v="1182.0025"/>
    <n v="851.0418"/>
    <n v="3876.9682"/>
    <s v="Low"/>
    <m/>
  </r>
  <r>
    <n v="1117"/>
    <d v="2025-04-28T00:00:00"/>
    <x v="0"/>
    <x v="0"/>
    <s v="Customer_31"/>
    <x v="0"/>
    <x v="2"/>
    <n v="10"/>
    <n v="727.41"/>
    <n v="0.15"/>
    <n v="6182.98"/>
    <x v="0"/>
    <x v="1"/>
    <n v="6182.985"/>
    <n v="2025"/>
    <x v="3"/>
    <x v="1"/>
    <n v="1545.745"/>
    <n v="1112.9364"/>
    <n v="5070.0436"/>
    <s v="Medium"/>
    <m/>
  </r>
  <r>
    <n v="1198"/>
    <d v="2025-04-28T00:00:00"/>
    <x v="2"/>
    <x v="3"/>
    <s v="Customer_30"/>
    <x v="0"/>
    <x v="0"/>
    <n v="11"/>
    <n v="1087.12"/>
    <n v="0"/>
    <n v="11958.32"/>
    <x v="2"/>
    <x v="2"/>
    <n v="11958.32"/>
    <n v="2025"/>
    <x v="3"/>
    <x v="1"/>
    <n v="2989.58"/>
    <n v="2152.4976"/>
    <n v="9805.822400000001"/>
    <s v="High"/>
    <m/>
  </r>
  <r>
    <n v="1039"/>
    <d v="2025-04-30T00:00:00"/>
    <x v="0"/>
    <x v="3"/>
    <s v="Customer_51"/>
    <x v="1"/>
    <x v="8"/>
    <n v="2"/>
    <n v="999"/>
    <n v="0.05"/>
    <n v="2242.7"/>
    <x v="1"/>
    <x v="0"/>
    <n v="1898.1"/>
    <n v="2025"/>
    <x v="3"/>
    <x v="1"/>
    <n v="560.675"/>
    <n v="403.686"/>
    <n v="1839.014"/>
    <s v="Low"/>
    <m/>
  </r>
  <r>
    <n v="1176"/>
    <d v="2025-05-03T00:00:00"/>
    <x v="1"/>
    <x v="0"/>
    <s v="Customer_30"/>
    <x v="2"/>
    <x v="6"/>
    <n v="3"/>
    <n v="729.99"/>
    <n v="0.15"/>
    <n v="1861.47"/>
    <x v="1"/>
    <x v="2"/>
    <n v="1861.4745"/>
    <n v="2025"/>
    <x v="4"/>
    <x v="1"/>
    <n v="465.3675"/>
    <n v="335.0646"/>
    <n v="1526.4054"/>
    <s v="Low"/>
    <m/>
  </r>
  <r>
    <n v="1098"/>
    <d v="2025-05-04T00:00:00"/>
    <x v="2"/>
    <x v="0"/>
    <s v="Customer_14"/>
    <x v="0"/>
    <x v="0"/>
    <n v="2"/>
    <n v="701.36"/>
    <n v="0.1"/>
    <n v="1262.45"/>
    <x v="0"/>
    <x v="0"/>
    <n v="1262.448"/>
    <n v="2025"/>
    <x v="4"/>
    <x v="1"/>
    <n v="315.6125"/>
    <n v="227.241"/>
    <n v="1035.209"/>
    <s v="Low"/>
    <m/>
  </r>
  <r>
    <n v="1273"/>
    <d v="2025-05-04T00:00:00"/>
    <x v="0"/>
    <x v="3"/>
    <s v="Customer_69"/>
    <x v="1"/>
    <x v="4"/>
    <n v="13"/>
    <n v="447.82"/>
    <n v="0.15"/>
    <n v="4948.41"/>
    <x v="2"/>
    <x v="1"/>
    <n v="4948.411"/>
    <n v="2025"/>
    <x v="4"/>
    <x v="1"/>
    <n v="1237.1025"/>
    <n v="890.7138"/>
    <n v="4057.6962"/>
    <s v="Low"/>
    <m/>
  </r>
  <r>
    <n v="1138"/>
    <d v="2025-05-06T00:00:00"/>
    <x v="2"/>
    <x v="3"/>
    <s v="Customer_72"/>
    <x v="0"/>
    <x v="5"/>
    <n v="4"/>
    <n v="1071.34"/>
    <n v="0.05"/>
    <n v="4071.09"/>
    <x v="1"/>
    <x v="1"/>
    <n v="4071.092"/>
    <n v="2025"/>
    <x v="4"/>
    <x v="1"/>
    <n v="1017.7725"/>
    <n v="732.7962"/>
    <n v="3338.2938"/>
    <s v="Low"/>
    <m/>
  </r>
  <r>
    <n v="1232"/>
    <d v="2025-05-08T00:00:00"/>
    <x v="1"/>
    <x v="2"/>
    <s v="Customer_42"/>
    <x v="2"/>
    <x v="3"/>
    <n v="14"/>
    <n v="579.27"/>
    <n v="0.15"/>
    <n v="6893.31"/>
    <x v="1"/>
    <x v="0"/>
    <n v="6893.312999999999"/>
    <n v="2025"/>
    <x v="4"/>
    <x v="1"/>
    <n v="1723.3275"/>
    <n v="1240.7958"/>
    <n v="5652.514200000001"/>
    <s v="Medium"/>
    <m/>
  </r>
  <r>
    <n v="1257"/>
    <d v="2025-05-10T00:00:00"/>
    <x v="3"/>
    <x v="0"/>
    <s v="Customer_78"/>
    <x v="1"/>
    <x v="4"/>
    <n v="13"/>
    <n v="574.36"/>
    <n v="0.1"/>
    <n v="6720.01"/>
    <x v="0"/>
    <x v="2"/>
    <n v="6720.012000000001"/>
    <n v="2025"/>
    <x v="4"/>
    <x v="1"/>
    <n v="1680.0025"/>
    <n v="1209.6018"/>
    <n v="5510.4082"/>
    <s v="Medium"/>
    <m/>
  </r>
  <r>
    <n v="1202"/>
    <d v="2025-05-11T00:00:00"/>
    <x v="3"/>
    <x v="5"/>
    <s v="Customer_38"/>
    <x v="0"/>
    <x v="0"/>
    <n v="14"/>
    <n v="413.43"/>
    <n v="0.15"/>
    <n v="4919.82"/>
    <x v="1"/>
    <x v="2"/>
    <n v="4919.817"/>
    <n v="2025"/>
    <x v="4"/>
    <x v="1"/>
    <n v="1229.955"/>
    <n v="885.5676"/>
    <n v="4034.2524"/>
    <s v="Low"/>
    <m/>
  </r>
  <r>
    <n v="1237"/>
    <d v="2025-05-12T00:00:00"/>
    <x v="1"/>
    <x v="3"/>
    <s v="Customer_29"/>
    <x v="2"/>
    <x v="3"/>
    <n v="15"/>
    <n v="522.66"/>
    <n v="0.05"/>
    <n v="7447.9"/>
    <x v="0"/>
    <x v="1"/>
    <n v="7447.905"/>
    <n v="2025"/>
    <x v="4"/>
    <x v="1"/>
    <n v="1861.975"/>
    <n v="1340.622"/>
    <n v="6107.278"/>
    <s v="Medium"/>
    <m/>
  </r>
  <r>
    <n v="1025"/>
    <d v="2025-05-14T00:00:00"/>
    <x v="2"/>
    <x v="5"/>
    <s v="Customer_68"/>
    <x v="0"/>
    <x v="0"/>
    <n v="10"/>
    <n v="268.57"/>
    <n v="0"/>
    <n v="2685.7"/>
    <x v="1"/>
    <x v="2"/>
    <n v="2685.7"/>
    <n v="2025"/>
    <x v="4"/>
    <x v="1"/>
    <n v="671.425"/>
    <n v="483.4259999999999"/>
    <n v="2202.274"/>
    <s v="Low"/>
    <m/>
  </r>
  <r>
    <n v="1054"/>
    <d v="2025-05-14T00:00:00"/>
    <x v="2"/>
    <x v="2"/>
    <s v="Customer_40"/>
    <x v="1"/>
    <x v="1"/>
    <n v="10"/>
    <n v="382.06"/>
    <n v="0.05"/>
    <n v="3629.57"/>
    <x v="2"/>
    <x v="2"/>
    <n v="3629.57"/>
    <n v="2025"/>
    <x v="4"/>
    <x v="1"/>
    <n v="907.3925"/>
    <n v="653.3226"/>
    <n v="2976.2474"/>
    <s v="Low"/>
    <m/>
  </r>
  <r>
    <n v="1119"/>
    <d v="2025-05-17T00:00:00"/>
    <x v="1"/>
    <x v="2"/>
    <s v="Customer_23"/>
    <x v="1"/>
    <x v="1"/>
    <n v="2"/>
    <n v="804.39"/>
    <n v="0"/>
    <n v="1608.78"/>
    <x v="2"/>
    <x v="1"/>
    <n v="1608.78"/>
    <n v="2025"/>
    <x v="4"/>
    <x v="1"/>
    <n v="402.195"/>
    <n v="289.5804"/>
    <n v="1319.1996"/>
    <s v="Low"/>
    <m/>
  </r>
  <r>
    <n v="1068"/>
    <d v="2025-05-19T00:00:00"/>
    <x v="0"/>
    <x v="5"/>
    <s v="Customer_69"/>
    <x v="2"/>
    <x v="7"/>
    <n v="4"/>
    <n v="779.99"/>
    <n v="0.15"/>
    <n v="2651.97"/>
    <x v="2"/>
    <x v="2"/>
    <n v="2651.966"/>
    <n v="2025"/>
    <x v="4"/>
    <x v="1"/>
    <n v="662.9924999999999"/>
    <n v="477.3545999999999"/>
    <n v="2174.6154"/>
    <s v="Low"/>
    <m/>
  </r>
  <r>
    <n v="1238"/>
    <d v="2025-05-21T00:00:00"/>
    <x v="0"/>
    <x v="1"/>
    <s v="Customer_39"/>
    <x v="2"/>
    <x v="7"/>
    <n v="12"/>
    <n v="810.84"/>
    <n v="0.1"/>
    <n v="8757.07"/>
    <x v="1"/>
    <x v="1"/>
    <n v="8757.072"/>
    <n v="2025"/>
    <x v="4"/>
    <x v="1"/>
    <n v="2189.2675"/>
    <n v="1576.2726"/>
    <n v="7180.797399999999"/>
    <s v="Medium"/>
    <m/>
  </r>
  <r>
    <n v="1269"/>
    <d v="2025-05-27T00:00:00"/>
    <x v="0"/>
    <x v="2"/>
    <s v="Customer_70"/>
    <x v="2"/>
    <x v="7"/>
    <n v="14"/>
    <n v="703.3099999999999"/>
    <n v="0.15"/>
    <n v="8369.389999999999"/>
    <x v="1"/>
    <x v="1"/>
    <n v="8369.388999999999"/>
    <n v="2025"/>
    <x v="4"/>
    <x v="1"/>
    <n v="2092.3475"/>
    <n v="1506.4902"/>
    <n v="6862.899799999999"/>
    <s v="Medium"/>
    <m/>
  </r>
  <r>
    <n v="1124"/>
    <d v="2025-05-28T00:00:00"/>
    <x v="3"/>
    <x v="0"/>
    <s v="Customer_43"/>
    <x v="0"/>
    <x v="0"/>
    <n v="12"/>
    <n v="1056.01"/>
    <n v="0.15"/>
    <n v="10771.3"/>
    <x v="1"/>
    <x v="1"/>
    <n v="10771.302"/>
    <n v="2025"/>
    <x v="4"/>
    <x v="1"/>
    <n v="2692.825"/>
    <n v="1938.834"/>
    <n v="8832.466"/>
    <s v="High"/>
    <m/>
  </r>
  <r>
    <n v="1180"/>
    <d v="2025-05-28T00:00:00"/>
    <x v="3"/>
    <x v="1"/>
    <s v="Customer_39"/>
    <x v="2"/>
    <x v="7"/>
    <n v="8"/>
    <n v="903.97"/>
    <n v="0.1"/>
    <n v="6508.58"/>
    <x v="2"/>
    <x v="1"/>
    <n v="6508.584000000001"/>
    <n v="2025"/>
    <x v="4"/>
    <x v="1"/>
    <n v="1627.145"/>
    <n v="1171.5444"/>
    <n v="5337.0356"/>
    <s v="Medium"/>
    <m/>
  </r>
  <r>
    <n v="1246"/>
    <d v="2025-05-28T00:00:00"/>
    <x v="3"/>
    <x v="5"/>
    <s v="Customer_26"/>
    <x v="2"/>
    <x v="6"/>
    <n v="8"/>
    <n v="492.92"/>
    <n v="0.15"/>
    <n v="3351.86"/>
    <x v="2"/>
    <x v="1"/>
    <n v="3351.856"/>
    <n v="2025"/>
    <x v="4"/>
    <x v="1"/>
    <n v="837.965"/>
    <n v="603.3348"/>
    <n v="2748.5252"/>
    <s v="Low"/>
    <m/>
  </r>
  <r>
    <n v="1262"/>
    <d v="2025-05-30T00:00:00"/>
    <x v="0"/>
    <x v="2"/>
    <s v="Customer_67"/>
    <x v="0"/>
    <x v="5"/>
    <n v="6"/>
    <n v="1035.44"/>
    <n v="0.1"/>
    <n v="5591.38"/>
    <x v="2"/>
    <x v="2"/>
    <n v="5591.376"/>
    <n v="2025"/>
    <x v="4"/>
    <x v="1"/>
    <n v="1397.845"/>
    <n v="1006.4484"/>
    <n v="4584.9316"/>
    <s v="Medium"/>
    <m/>
  </r>
  <r>
    <n v="1109"/>
    <d v="2025-06-01T00:00:00"/>
    <x v="1"/>
    <x v="0"/>
    <s v="Customer_16"/>
    <x v="1"/>
    <x v="8"/>
    <n v="8"/>
    <n v="1154.12"/>
    <n v="0.1"/>
    <n v="8309.66"/>
    <x v="0"/>
    <x v="1"/>
    <n v="8309.663999999999"/>
    <n v="2025"/>
    <x v="5"/>
    <x v="1"/>
    <n v="2077.415"/>
    <n v="1495.7388"/>
    <n v="6813.9212"/>
    <s v="Medium"/>
    <m/>
  </r>
  <r>
    <n v="1152"/>
    <d v="2025-06-03T00:00:00"/>
    <x v="2"/>
    <x v="2"/>
    <s v="Customer_21"/>
    <x v="1"/>
    <x v="8"/>
    <n v="10"/>
    <n v="639.47"/>
    <n v="0.15"/>
    <n v="5435.5"/>
    <x v="1"/>
    <x v="0"/>
    <n v="5435.495000000001"/>
    <n v="2025"/>
    <x v="5"/>
    <x v="1"/>
    <n v="1358.875"/>
    <n v="978.39"/>
    <n v="4457.11"/>
    <s v="Medium"/>
    <m/>
  </r>
  <r>
    <n v="1265"/>
    <d v="2025-06-04T00:00:00"/>
    <x v="3"/>
    <x v="3"/>
    <s v="Customer_41"/>
    <x v="1"/>
    <x v="8"/>
    <n v="12"/>
    <n v="17.03"/>
    <n v="0"/>
    <n v="204.36"/>
    <x v="1"/>
    <x v="1"/>
    <n v="204.36"/>
    <n v="2025"/>
    <x v="5"/>
    <x v="1"/>
    <n v="51.09"/>
    <n v="36.7848"/>
    <n v="167.5752"/>
    <s v="Low"/>
    <m/>
  </r>
  <r>
    <n v="1235"/>
    <d v="2025-06-07T00:00:00"/>
    <x v="2"/>
    <x v="4"/>
    <s v="Customer_74"/>
    <x v="1"/>
    <x v="1"/>
    <n v="2"/>
    <n v="959.28"/>
    <n v="0.1"/>
    <n v="1726.7"/>
    <x v="0"/>
    <x v="1"/>
    <n v="1726.704"/>
    <n v="2025"/>
    <x v="5"/>
    <x v="1"/>
    <n v="431.675"/>
    <n v="310.806"/>
    <n v="1415.894"/>
    <s v="Low"/>
    <m/>
  </r>
  <r>
    <n v="1002"/>
    <d v="2025-06-09T00:00:00"/>
    <x v="2"/>
    <x v="5"/>
    <s v="Customer_25"/>
    <x v="1"/>
    <x v="8"/>
    <n v="8"/>
    <n v="958.3200000000001"/>
    <n v="0.15"/>
    <n v="6516.58"/>
    <x v="0"/>
    <x v="1"/>
    <n v="6516.576"/>
    <n v="2025"/>
    <x v="5"/>
    <x v="1"/>
    <n v="1629.145"/>
    <n v="1172.9844"/>
    <n v="5343.5956"/>
    <s v="Medium"/>
    <m/>
  </r>
  <r>
    <n v="1093"/>
    <d v="2025-06-13T00:00:00"/>
    <x v="3"/>
    <x v="4"/>
    <s v="Customer_59"/>
    <x v="0"/>
    <x v="2"/>
    <n v="8"/>
    <n v="1154.6"/>
    <n v="0"/>
    <n v="9236.799999999999"/>
    <x v="0"/>
    <x v="2"/>
    <n v="9236.799999999999"/>
    <n v="2025"/>
    <x v="5"/>
    <x v="1"/>
    <n v="2309.2"/>
    <n v="1662.624"/>
    <n v="7574.175999999999"/>
    <s v="Medium"/>
    <m/>
  </r>
  <r>
    <n v="1104"/>
    <d v="2025-06-14T00:00:00"/>
    <x v="3"/>
    <x v="0"/>
    <s v="Customer_24"/>
    <x v="1"/>
    <x v="1"/>
    <n v="11"/>
    <n v="440.47"/>
    <n v="0"/>
    <n v="4845.17"/>
    <x v="0"/>
    <x v="0"/>
    <n v="4845.17"/>
    <n v="2025"/>
    <x v="5"/>
    <x v="1"/>
    <n v="1211.2925"/>
    <n v="872.1306"/>
    <n v="3973.0394"/>
    <s v="Low"/>
    <m/>
  </r>
  <r>
    <n v="1245"/>
    <d v="2025-06-14T00:00:00"/>
    <x v="3"/>
    <x v="3"/>
    <s v="Customer_12"/>
    <x v="0"/>
    <x v="0"/>
    <n v="1"/>
    <n v="501.06"/>
    <n v="0.05"/>
    <n v="476.01"/>
    <x v="1"/>
    <x v="0"/>
    <n v="476.007"/>
    <n v="2025"/>
    <x v="5"/>
    <x v="1"/>
    <n v="119.0025"/>
    <n v="85.6818"/>
    <n v="390.3282"/>
    <s v="Low"/>
    <m/>
  </r>
  <r>
    <n v="1099"/>
    <d v="2025-06-15T00:00:00"/>
    <x v="0"/>
    <x v="1"/>
    <s v="Customer_17"/>
    <x v="0"/>
    <x v="2"/>
    <n v="11"/>
    <n v="1175.13"/>
    <n v="0.1"/>
    <n v="11633.79"/>
    <x v="1"/>
    <x v="1"/>
    <n v="11633.787"/>
    <n v="2025"/>
    <x v="5"/>
    <x v="1"/>
    <n v="2908.4475"/>
    <n v="2094.0822"/>
    <n v="9539.7078"/>
    <s v="High"/>
    <m/>
  </r>
  <r>
    <n v="1120"/>
    <d v="2025-06-16T00:00:00"/>
    <x v="3"/>
    <x v="2"/>
    <s v="Customer_28"/>
    <x v="0"/>
    <x v="2"/>
    <n v="3"/>
    <n v="838.73"/>
    <n v="0.1"/>
    <n v="2264.57"/>
    <x v="2"/>
    <x v="1"/>
    <n v="2264.571"/>
    <n v="2025"/>
    <x v="5"/>
    <x v="1"/>
    <n v="566.1425"/>
    <n v="407.6226"/>
    <n v="1856.9474"/>
    <s v="Low"/>
    <m/>
  </r>
  <r>
    <n v="1185"/>
    <d v="2025-06-18T00:00:00"/>
    <x v="3"/>
    <x v="4"/>
    <s v="Customer_34"/>
    <x v="2"/>
    <x v="6"/>
    <n v="14"/>
    <n v="251.62"/>
    <n v="0.15"/>
    <n v="2994.28"/>
    <x v="0"/>
    <x v="1"/>
    <n v="2994.278"/>
    <n v="2025"/>
    <x v="5"/>
    <x v="1"/>
    <n v="748.5700000000001"/>
    <n v="538.9704"/>
    <n v="2455.3096"/>
    <s v="Low"/>
    <m/>
  </r>
  <r>
    <n v="1075"/>
    <d v="2025-06-23T00:00:00"/>
    <x v="0"/>
    <x v="4"/>
    <s v="Customer_39"/>
    <x v="1"/>
    <x v="1"/>
    <n v="1"/>
    <n v="635.97"/>
    <n v="0.15"/>
    <n v="540.5700000000001"/>
    <x v="1"/>
    <x v="0"/>
    <n v="540.5745000000001"/>
    <n v="2025"/>
    <x v="5"/>
    <x v="1"/>
    <n v="135.1425"/>
    <n v="97.30260000000001"/>
    <n v="443.2674000000001"/>
    <s v="Low"/>
    <m/>
  </r>
  <r>
    <n v="1212"/>
    <d v="2025-06-26T00:00:00"/>
    <x v="1"/>
    <x v="0"/>
    <s v="Customer_47"/>
    <x v="0"/>
    <x v="5"/>
    <n v="9"/>
    <n v="237.52"/>
    <n v="0.1"/>
    <n v="1923.91"/>
    <x v="1"/>
    <x v="0"/>
    <n v="1923.912"/>
    <n v="2025"/>
    <x v="5"/>
    <x v="1"/>
    <n v="480.9775"/>
    <n v="346.3038"/>
    <n v="1577.6062"/>
    <s v="Low"/>
    <m/>
  </r>
  <r>
    <n v="1091"/>
    <d v="2025-07-04T00:00:00"/>
    <x v="3"/>
    <x v="5"/>
    <s v="Customer_7"/>
    <x v="0"/>
    <x v="5"/>
    <n v="10"/>
    <n v="217.83"/>
    <n v="0.05"/>
    <n v="2069.39"/>
    <x v="2"/>
    <x v="0"/>
    <n v="2069.385"/>
    <n v="2025"/>
    <x v="6"/>
    <x v="2"/>
    <n v="517.3475"/>
    <n v="372.4902"/>
    <n v="1696.8998"/>
    <s v="Low"/>
    <m/>
  </r>
  <r>
    <n v="1203"/>
    <d v="2025-07-05T00:00:00"/>
    <x v="2"/>
    <x v="0"/>
    <s v="Customer_21"/>
    <x v="1"/>
    <x v="4"/>
    <n v="3"/>
    <n v="872.67"/>
    <n v="0.15"/>
    <n v="2225.31"/>
    <x v="2"/>
    <x v="2"/>
    <n v="2225.3085"/>
    <n v="2025"/>
    <x v="6"/>
    <x v="2"/>
    <n v="556.3275"/>
    <n v="400.5558"/>
    <n v="1824.7542"/>
    <s v="Low"/>
    <m/>
  </r>
  <r>
    <n v="1168"/>
    <d v="2025-07-08T00:00:00"/>
    <x v="3"/>
    <x v="2"/>
    <s v="Customer_34"/>
    <x v="0"/>
    <x v="5"/>
    <n v="10"/>
    <n v="88.83"/>
    <n v="0"/>
    <n v="888.3"/>
    <x v="2"/>
    <x v="0"/>
    <n v="888.3"/>
    <n v="2025"/>
    <x v="6"/>
    <x v="2"/>
    <n v="222.075"/>
    <n v="159.894"/>
    <n v="728.4059999999999"/>
    <s v="Low"/>
    <m/>
  </r>
  <r>
    <n v="1231"/>
    <d v="2025-07-09T00:00:00"/>
    <x v="2"/>
    <x v="0"/>
    <s v="Customer_67"/>
    <x v="1"/>
    <x v="1"/>
    <n v="2"/>
    <n v="861.52"/>
    <n v="0.15"/>
    <n v="1464.58"/>
    <x v="2"/>
    <x v="2"/>
    <n v="1464.584"/>
    <n v="2025"/>
    <x v="6"/>
    <x v="2"/>
    <n v="366.145"/>
    <n v="263.6244"/>
    <n v="1200.9556"/>
    <s v="Low"/>
    <m/>
  </r>
  <r>
    <n v="1030"/>
    <d v="2025-07-11T00:00:00"/>
    <x v="3"/>
    <x v="1"/>
    <s v="Customer_18"/>
    <x v="0"/>
    <x v="5"/>
    <n v="2"/>
    <n v="133.96"/>
    <n v="0.15"/>
    <n v="227.73"/>
    <x v="1"/>
    <x v="2"/>
    <n v="227.732"/>
    <n v="2025"/>
    <x v="6"/>
    <x v="2"/>
    <n v="56.9325"/>
    <n v="40.9914"/>
    <n v="186.7386"/>
    <s v="Low"/>
    <m/>
  </r>
  <r>
    <n v="1108"/>
    <d v="2025-07-11T00:00:00"/>
    <x v="0"/>
    <x v="5"/>
    <s v="Customer_28"/>
    <x v="0"/>
    <x v="0"/>
    <n v="6"/>
    <n v="218.18"/>
    <n v="0.05"/>
    <n v="1243.63"/>
    <x v="0"/>
    <x v="1"/>
    <n v="1243.626"/>
    <n v="2025"/>
    <x v="6"/>
    <x v="2"/>
    <n v="310.9075"/>
    <n v="223.8534"/>
    <n v="1019.7766"/>
    <s v="Low"/>
    <m/>
  </r>
  <r>
    <n v="1240"/>
    <d v="2025-07-12T00:00:00"/>
    <x v="3"/>
    <x v="2"/>
    <s v="Customer_30"/>
    <x v="0"/>
    <x v="5"/>
    <n v="9"/>
    <n v="904.8099999999999"/>
    <n v="0.05"/>
    <n v="7736.13"/>
    <x v="1"/>
    <x v="1"/>
    <n v="7736.125499999999"/>
    <n v="2025"/>
    <x v="6"/>
    <x v="2"/>
    <n v="1934.0325"/>
    <n v="1392.5034"/>
    <n v="6343.6266"/>
    <s v="Medium"/>
    <m/>
  </r>
  <r>
    <n v="1172"/>
    <d v="2025-07-14T00:00:00"/>
    <x v="2"/>
    <x v="1"/>
    <s v="Customer_4"/>
    <x v="2"/>
    <x v="7"/>
    <n v="6"/>
    <n v="373.19"/>
    <n v="0"/>
    <n v="2239.14"/>
    <x v="0"/>
    <x v="2"/>
    <n v="2239.14"/>
    <n v="2025"/>
    <x v="6"/>
    <x v="2"/>
    <n v="559.785"/>
    <n v="403.0452"/>
    <n v="1836.0948"/>
    <s v="Low"/>
    <m/>
  </r>
  <r>
    <n v="1201"/>
    <d v="2025-07-14T00:00:00"/>
    <x v="2"/>
    <x v="1"/>
    <s v="Customer_10"/>
    <x v="1"/>
    <x v="8"/>
    <n v="7"/>
    <n v="143.31"/>
    <n v="0.1"/>
    <n v="902.85"/>
    <x v="0"/>
    <x v="0"/>
    <n v="902.8530000000001"/>
    <n v="2025"/>
    <x v="6"/>
    <x v="2"/>
    <n v="225.7125"/>
    <n v="162.513"/>
    <n v="740.337"/>
    <s v="Low"/>
    <m/>
  </r>
  <r>
    <n v="1086"/>
    <d v="2025-07-19T00:00:00"/>
    <x v="2"/>
    <x v="0"/>
    <s v="Customer_25"/>
    <x v="0"/>
    <x v="0"/>
    <n v="13"/>
    <n v="1182.2"/>
    <n v="0.15"/>
    <n v="13063.31"/>
    <x v="2"/>
    <x v="1"/>
    <n v="13063.31"/>
    <n v="2025"/>
    <x v="6"/>
    <x v="2"/>
    <n v="3265.8275"/>
    <n v="2351.3958"/>
    <n v="10711.9142"/>
    <s v="High"/>
    <m/>
  </r>
  <r>
    <n v="1072"/>
    <d v="2025-07-20T00:00:00"/>
    <x v="3"/>
    <x v="1"/>
    <s v="Customer_78"/>
    <x v="1"/>
    <x v="1"/>
    <n v="2"/>
    <n v="680.25"/>
    <n v="0.05"/>
    <n v="1292.47"/>
    <x v="0"/>
    <x v="2"/>
    <n v="1292.475"/>
    <n v="2025"/>
    <x v="6"/>
    <x v="2"/>
    <n v="323.1175"/>
    <n v="232.6446"/>
    <n v="1059.8254"/>
    <s v="Low"/>
    <m/>
  </r>
  <r>
    <n v="1066"/>
    <d v="2025-07-23T00:00:00"/>
    <x v="1"/>
    <x v="3"/>
    <s v="Customer_64"/>
    <x v="2"/>
    <x v="7"/>
    <n v="4"/>
    <n v="234.87"/>
    <n v="0"/>
    <n v="939.48"/>
    <x v="0"/>
    <x v="2"/>
    <n v="939.48"/>
    <n v="2025"/>
    <x v="6"/>
    <x v="2"/>
    <n v="234.87"/>
    <n v="169.1064"/>
    <n v="770.3736"/>
    <s v="Low"/>
    <m/>
  </r>
  <r>
    <n v="1298"/>
    <d v="2025-07-23T00:00:00"/>
    <x v="1"/>
    <x v="1"/>
    <s v="Customer_38"/>
    <x v="2"/>
    <x v="7"/>
    <n v="8"/>
    <n v="252.2"/>
    <n v="0"/>
    <n v="2017.6"/>
    <x v="1"/>
    <x v="0"/>
    <n v="2017.6"/>
    <n v="2025"/>
    <x v="6"/>
    <x v="2"/>
    <n v="504.4"/>
    <n v="363.1679999999999"/>
    <n v="1654.432"/>
    <s v="Low"/>
    <m/>
  </r>
  <r>
    <n v="1036"/>
    <d v="2025-07-24T00:00:00"/>
    <x v="0"/>
    <x v="3"/>
    <s v="Customer_17"/>
    <x v="0"/>
    <x v="5"/>
    <n v="15"/>
    <n v="523.6"/>
    <n v="0.05"/>
    <n v="7461.3"/>
    <x v="1"/>
    <x v="0"/>
    <n v="7461.299999999999"/>
    <n v="2025"/>
    <x v="6"/>
    <x v="2"/>
    <n v="1865.325"/>
    <n v="1343.034"/>
    <n v="6118.266000000001"/>
    <s v="Medium"/>
    <m/>
  </r>
  <r>
    <n v="1037"/>
    <d v="2025-07-26T00:00:00"/>
    <x v="1"/>
    <x v="2"/>
    <s v="Customer_20"/>
    <x v="2"/>
    <x v="3"/>
    <n v="12"/>
    <n v="922.9"/>
    <n v="0.15"/>
    <n v="9413.58"/>
    <x v="1"/>
    <x v="1"/>
    <n v="9413.58"/>
    <n v="2025"/>
    <x v="6"/>
    <x v="2"/>
    <n v="2353.395"/>
    <n v="1694.4444"/>
    <n v="7719.1356"/>
    <s v="Medium"/>
    <m/>
  </r>
  <r>
    <n v="1062"/>
    <d v="2025-07-26T00:00:00"/>
    <x v="3"/>
    <x v="0"/>
    <s v="Customer_72"/>
    <x v="1"/>
    <x v="4"/>
    <n v="11"/>
    <n v="348.91"/>
    <n v="0.1"/>
    <n v="3454.21"/>
    <x v="2"/>
    <x v="2"/>
    <n v="3454.209"/>
    <n v="2025"/>
    <x v="6"/>
    <x v="2"/>
    <n v="863.5525"/>
    <n v="621.7578"/>
    <n v="2832.4522"/>
    <s v="Low"/>
    <m/>
  </r>
  <r>
    <n v="1219"/>
    <d v="2025-07-28T00:00:00"/>
    <x v="3"/>
    <x v="2"/>
    <s v="Customer_60"/>
    <x v="0"/>
    <x v="2"/>
    <n v="10"/>
    <n v="364.63"/>
    <n v="0.1"/>
    <n v="3281.67"/>
    <x v="0"/>
    <x v="2"/>
    <n v="3281.67"/>
    <n v="2025"/>
    <x v="6"/>
    <x v="2"/>
    <n v="820.4175"/>
    <n v="590.7006"/>
    <n v="2690.9694"/>
    <s v="Low"/>
    <m/>
  </r>
  <r>
    <n v="1064"/>
    <d v="2025-07-29T00:00:00"/>
    <x v="3"/>
    <x v="1"/>
    <s v="Customer_24"/>
    <x v="0"/>
    <x v="2"/>
    <n v="11"/>
    <n v="270.94"/>
    <n v="0.1"/>
    <n v="2682.31"/>
    <x v="0"/>
    <x v="0"/>
    <n v="2682.306"/>
    <n v="2025"/>
    <x v="6"/>
    <x v="2"/>
    <n v="670.5775"/>
    <n v="482.8158"/>
    <n v="2199.4942"/>
    <s v="Low"/>
    <m/>
  </r>
  <r>
    <n v="1193"/>
    <d v="2025-07-31T00:00:00"/>
    <x v="3"/>
    <x v="2"/>
    <s v="Customer_72"/>
    <x v="1"/>
    <x v="1"/>
    <n v="11"/>
    <n v="1158.05"/>
    <n v="0"/>
    <n v="12738.55"/>
    <x v="0"/>
    <x v="2"/>
    <n v="12738.55"/>
    <n v="2025"/>
    <x v="6"/>
    <x v="2"/>
    <n v="3184.6375"/>
    <n v="2292.939"/>
    <n v="10445.611"/>
    <s v="High"/>
    <m/>
  </r>
  <r>
    <n v="1287"/>
    <d v="2025-08-02T00:00:00"/>
    <x v="2"/>
    <x v="4"/>
    <s v="Customer_34"/>
    <x v="1"/>
    <x v="1"/>
    <n v="15"/>
    <n v="265.46"/>
    <n v="0.15"/>
    <n v="3384.61"/>
    <x v="0"/>
    <x v="1"/>
    <n v="3384.615"/>
    <n v="2025"/>
    <x v="7"/>
    <x v="2"/>
    <n v="846.1525"/>
    <n v="609.2298"/>
    <n v="2775.3802"/>
    <s v="Low"/>
    <m/>
  </r>
  <r>
    <n v="1045"/>
    <d v="2025-08-03T00:00:00"/>
    <x v="0"/>
    <x v="0"/>
    <s v="Customer_68"/>
    <x v="0"/>
    <x v="2"/>
    <n v="3"/>
    <n v="806.63"/>
    <n v="0.15"/>
    <n v="2056.91"/>
    <x v="2"/>
    <x v="2"/>
    <n v="2056.9065"/>
    <n v="2025"/>
    <x v="7"/>
    <x v="2"/>
    <n v="514.2275"/>
    <n v="370.2438"/>
    <n v="1686.6662"/>
    <s v="Low"/>
    <m/>
  </r>
  <r>
    <n v="1019"/>
    <d v="2025-08-05T00:00:00"/>
    <x v="1"/>
    <x v="1"/>
    <s v="Customer_54"/>
    <x v="0"/>
    <x v="8"/>
    <n v="15"/>
    <n v="196.38"/>
    <n v="0.05"/>
    <n v="2798.41"/>
    <x v="2"/>
    <x v="1"/>
    <n v="2798.415"/>
    <n v="2025"/>
    <x v="7"/>
    <x v="2"/>
    <n v="699.6025"/>
    <n v="503.7137999999999"/>
    <n v="2294.6962"/>
    <s v="Low"/>
    <m/>
  </r>
  <r>
    <n v="1021"/>
    <d v="2025-08-06T00:00:00"/>
    <x v="0"/>
    <x v="3"/>
    <s v="Customer_2"/>
    <x v="0"/>
    <x v="2"/>
    <n v="4"/>
    <n v="13.57"/>
    <n v="0.15"/>
    <n v="46.14"/>
    <x v="0"/>
    <x v="0"/>
    <n v="46.138"/>
    <n v="2025"/>
    <x v="7"/>
    <x v="2"/>
    <n v="11.535"/>
    <n v="8.305199999999999"/>
    <n v="37.8348"/>
    <s v="Low"/>
    <m/>
  </r>
  <r>
    <n v="1156"/>
    <d v="2025-08-06T00:00:00"/>
    <x v="1"/>
    <x v="4"/>
    <s v="Customer_72"/>
    <x v="2"/>
    <x v="6"/>
    <n v="9"/>
    <n v="227.95"/>
    <n v="0"/>
    <n v="2051.55"/>
    <x v="0"/>
    <x v="0"/>
    <n v="2051.55"/>
    <n v="2025"/>
    <x v="7"/>
    <x v="2"/>
    <n v="512.8875"/>
    <n v="369.279"/>
    <n v="1682.271"/>
    <s v="Low"/>
    <m/>
  </r>
  <r>
    <n v="1285"/>
    <d v="2025-08-06T00:00:00"/>
    <x v="3"/>
    <x v="4"/>
    <s v="Customer_28"/>
    <x v="1"/>
    <x v="4"/>
    <n v="9"/>
    <n v="215.53"/>
    <n v="0.05"/>
    <n v="1842.78"/>
    <x v="0"/>
    <x v="1"/>
    <n v="1842.7815"/>
    <n v="2025"/>
    <x v="7"/>
    <x v="2"/>
    <n v="460.695"/>
    <n v="331.7004"/>
    <n v="1511.0796"/>
    <s v="Low"/>
    <m/>
  </r>
  <r>
    <n v="1111"/>
    <d v="2025-08-07T00:00:00"/>
    <x v="1"/>
    <x v="1"/>
    <s v="Customer_41"/>
    <x v="1"/>
    <x v="8"/>
    <n v="11"/>
    <n v="520.4400000000001"/>
    <n v="0"/>
    <n v="5724.84"/>
    <x v="2"/>
    <x v="1"/>
    <n v="5724.84"/>
    <n v="2025"/>
    <x v="7"/>
    <x v="2"/>
    <n v="1431.21"/>
    <n v="1030.4712"/>
    <n v="4694.3688"/>
    <s v="Medium"/>
    <m/>
  </r>
  <r>
    <n v="1250"/>
    <d v="2025-08-09T00:00:00"/>
    <x v="0"/>
    <x v="4"/>
    <s v="Customer_21"/>
    <x v="0"/>
    <x v="2"/>
    <n v="5"/>
    <n v="527.46"/>
    <n v="0.05"/>
    <n v="2505.43"/>
    <x v="1"/>
    <x v="2"/>
    <n v="2505.435"/>
    <n v="2025"/>
    <x v="7"/>
    <x v="2"/>
    <n v="626.3575"/>
    <n v="450.9773999999999"/>
    <n v="2054.4526"/>
    <s v="Low"/>
    <m/>
  </r>
  <r>
    <n v="1132"/>
    <d v="2025-08-10T00:00:00"/>
    <x v="1"/>
    <x v="1"/>
    <s v="Customer_15"/>
    <x v="1"/>
    <x v="4"/>
    <n v="10"/>
    <n v="16.64"/>
    <n v="0.15"/>
    <n v="141.44"/>
    <x v="1"/>
    <x v="0"/>
    <n v="141.44"/>
    <n v="2025"/>
    <x v="7"/>
    <x v="2"/>
    <n v="35.36"/>
    <n v="25.4592"/>
    <n v="115.9808"/>
    <s v="Low"/>
    <m/>
  </r>
  <r>
    <n v="1114"/>
    <d v="2025-08-12T00:00:00"/>
    <x v="3"/>
    <x v="1"/>
    <s v="Customer_34"/>
    <x v="1"/>
    <x v="4"/>
    <n v="13"/>
    <n v="822.77"/>
    <n v="0.1"/>
    <n v="9626.41"/>
    <x v="1"/>
    <x v="0"/>
    <n v="9626.409"/>
    <n v="2025"/>
    <x v="7"/>
    <x v="2"/>
    <n v="2406.6025"/>
    <n v="1732.7538"/>
    <n v="7893.656199999999"/>
    <s v="Medium"/>
    <m/>
  </r>
  <r>
    <n v="1218"/>
    <d v="2025-08-20T00:00:00"/>
    <x v="1"/>
    <x v="2"/>
    <s v="Customer_19"/>
    <x v="0"/>
    <x v="2"/>
    <n v="12"/>
    <n v="1039.67"/>
    <n v="0.15"/>
    <n v="10604.63"/>
    <x v="2"/>
    <x v="1"/>
    <n v="10604.634"/>
    <n v="2025"/>
    <x v="7"/>
    <x v="2"/>
    <n v="2651.1575"/>
    <n v="1908.8334"/>
    <n v="8695.7966"/>
    <s v="High"/>
    <m/>
  </r>
  <r>
    <n v="1073"/>
    <d v="2025-08-22T00:00:00"/>
    <x v="3"/>
    <x v="1"/>
    <s v="Customer_14"/>
    <x v="1"/>
    <x v="1"/>
    <n v="7"/>
    <n v="916.63"/>
    <n v="0.1"/>
    <n v="5774.77"/>
    <x v="0"/>
    <x v="2"/>
    <n v="5774.769"/>
    <n v="2025"/>
    <x v="7"/>
    <x v="2"/>
    <n v="1443.6925"/>
    <n v="1039.4586"/>
    <n v="4735.311400000001"/>
    <s v="Medium"/>
    <m/>
  </r>
  <r>
    <n v="1129"/>
    <d v="2025-08-22T00:00:00"/>
    <x v="2"/>
    <x v="4"/>
    <s v="Customer_31"/>
    <x v="0"/>
    <x v="0"/>
    <n v="4"/>
    <n v="974.87"/>
    <n v="0.05"/>
    <n v="3704.51"/>
    <x v="2"/>
    <x v="1"/>
    <n v="3704.506"/>
    <n v="2025"/>
    <x v="7"/>
    <x v="2"/>
    <n v="926.1275000000001"/>
    <n v="666.8118000000001"/>
    <n v="3037.6982"/>
    <s v="Low"/>
    <m/>
  </r>
  <r>
    <n v="1047"/>
    <d v="2025-08-26T00:00:00"/>
    <x v="1"/>
    <x v="0"/>
    <s v="Customer_24"/>
    <x v="2"/>
    <x v="3"/>
    <n v="7"/>
    <n v="712.8200000000001"/>
    <n v="0.15"/>
    <n v="4241.28"/>
    <x v="1"/>
    <x v="0"/>
    <n v="4241.279"/>
    <n v="2025"/>
    <x v="7"/>
    <x v="2"/>
    <n v="1060.32"/>
    <n v="763.4304"/>
    <n v="3477.8496"/>
    <s v="Low"/>
    <m/>
  </r>
  <r>
    <n v="1003"/>
    <d v="2025-08-28T00:00:00"/>
    <x v="2"/>
    <x v="4"/>
    <s v="Customer_27"/>
    <x v="1"/>
    <x v="1"/>
    <n v="13"/>
    <n v="1071.08"/>
    <n v="0.1"/>
    <n v="12531.64"/>
    <x v="1"/>
    <x v="1"/>
    <n v="12531.636"/>
    <n v="2025"/>
    <x v="7"/>
    <x v="2"/>
    <n v="3132.91"/>
    <n v="2255.6952"/>
    <n v="10275.9448"/>
    <s v="High"/>
    <m/>
  </r>
  <r>
    <n v="1260"/>
    <d v="2025-08-30T00:00:00"/>
    <x v="3"/>
    <x v="2"/>
    <s v="Customer_37"/>
    <x v="0"/>
    <x v="5"/>
    <n v="9"/>
    <n v="927.9400000000001"/>
    <n v="0.05"/>
    <n v="7933.89"/>
    <x v="0"/>
    <x v="0"/>
    <n v="7933.887000000001"/>
    <n v="2025"/>
    <x v="7"/>
    <x v="2"/>
    <n v="1983.4725"/>
    <n v="1428.1002"/>
    <n v="6505.7898"/>
    <s v="Medium"/>
    <m/>
  </r>
  <r>
    <n v="1085"/>
    <d v="2025-09-11T00:00:00"/>
    <x v="1"/>
    <x v="1"/>
    <s v="Customer_77"/>
    <x v="0"/>
    <x v="0"/>
    <n v="15"/>
    <n v="1020.31"/>
    <n v="0.15"/>
    <n v="13008.95"/>
    <x v="0"/>
    <x v="2"/>
    <n v="13008.9525"/>
    <n v="2025"/>
    <x v="8"/>
    <x v="2"/>
    <n v="3252.2375"/>
    <n v="2341.611"/>
    <n v="10667.339"/>
    <s v="High"/>
    <m/>
  </r>
  <r>
    <n v="1266"/>
    <d v="2025-09-11T00:00:00"/>
    <x v="0"/>
    <x v="1"/>
    <s v="Customer_12"/>
    <x v="1"/>
    <x v="8"/>
    <n v="12"/>
    <n v="420.63"/>
    <n v="0.05"/>
    <n v="4795.18"/>
    <x v="1"/>
    <x v="1"/>
    <n v="4795.181999999999"/>
    <n v="2025"/>
    <x v="8"/>
    <x v="2"/>
    <n v="1198.795"/>
    <n v="863.1324000000001"/>
    <n v="3932.0476"/>
    <s v="Low"/>
    <m/>
  </r>
  <r>
    <n v="1214"/>
    <d v="2025-09-14T00:00:00"/>
    <x v="1"/>
    <x v="3"/>
    <s v="Customer_23"/>
    <x v="2"/>
    <x v="3"/>
    <n v="8"/>
    <n v="238.51"/>
    <n v="0.05"/>
    <n v="1812.68"/>
    <x v="1"/>
    <x v="0"/>
    <n v="1812.676"/>
    <n v="2025"/>
    <x v="8"/>
    <x v="2"/>
    <n v="453.17"/>
    <n v="326.2824"/>
    <n v="1486.3976"/>
    <s v="Low"/>
    <m/>
  </r>
  <r>
    <n v="1223"/>
    <d v="2025-09-15T00:00:00"/>
    <x v="3"/>
    <x v="5"/>
    <s v="Customer_71"/>
    <x v="0"/>
    <x v="2"/>
    <n v="3"/>
    <n v="271.01"/>
    <n v="0.1"/>
    <n v="731.73"/>
    <x v="2"/>
    <x v="2"/>
    <n v="731.727"/>
    <n v="2025"/>
    <x v="8"/>
    <x v="2"/>
    <n v="182.9325"/>
    <n v="131.7114"/>
    <n v="600.0186"/>
    <s v="Low"/>
    <m/>
  </r>
  <r>
    <n v="1007"/>
    <d v="2025-09-16T00:00:00"/>
    <x v="0"/>
    <x v="4"/>
    <s v="Customer_20"/>
    <x v="1"/>
    <x v="4"/>
    <n v="10"/>
    <n v="812.04"/>
    <n v="0.1"/>
    <n v="7308.36"/>
    <x v="2"/>
    <x v="0"/>
    <n v="7308.36"/>
    <n v="2025"/>
    <x v="8"/>
    <x v="2"/>
    <n v="1827.09"/>
    <n v="1315.5048"/>
    <n v="5992.8552"/>
    <s v="Medium"/>
    <m/>
  </r>
  <r>
    <n v="1118"/>
    <d v="2025-09-16T00:00:00"/>
    <x v="2"/>
    <x v="0"/>
    <s v="Customer_17"/>
    <x v="0"/>
    <x v="0"/>
    <n v="14"/>
    <n v="298.47"/>
    <n v="0"/>
    <n v="4178.58"/>
    <x v="0"/>
    <x v="0"/>
    <n v="4178.58"/>
    <n v="2025"/>
    <x v="8"/>
    <x v="2"/>
    <n v="1044.645"/>
    <n v="752.1443999999999"/>
    <n v="3426.4356"/>
    <s v="Low"/>
    <m/>
  </r>
  <r>
    <n v="1169"/>
    <d v="2025-09-16T00:00:00"/>
    <x v="3"/>
    <x v="0"/>
    <s v="Customer_38"/>
    <x v="1"/>
    <x v="4"/>
    <n v="3"/>
    <n v="649.34"/>
    <n v="0.05"/>
    <n v="1850.62"/>
    <x v="0"/>
    <x v="0"/>
    <n v="1850.619"/>
    <n v="2025"/>
    <x v="8"/>
    <x v="2"/>
    <n v="462.655"/>
    <n v="333.1116"/>
    <n v="1517.5084"/>
    <s v="Low"/>
    <m/>
  </r>
  <r>
    <n v="1206"/>
    <d v="2025-09-17T00:00:00"/>
    <x v="1"/>
    <x v="2"/>
    <s v="Customer_75"/>
    <x v="1"/>
    <x v="4"/>
    <n v="2"/>
    <n v="1097.76"/>
    <n v="0.15"/>
    <n v="1866.19"/>
    <x v="2"/>
    <x v="1"/>
    <n v="1866.192"/>
    <n v="2025"/>
    <x v="8"/>
    <x v="2"/>
    <n v="466.5475"/>
    <n v="335.9142"/>
    <n v="1530.2758"/>
    <s v="Low"/>
    <m/>
  </r>
  <r>
    <n v="1199"/>
    <d v="2025-09-19T00:00:00"/>
    <x v="3"/>
    <x v="0"/>
    <s v="Customer_73"/>
    <x v="1"/>
    <x v="4"/>
    <n v="3"/>
    <n v="1137.89"/>
    <n v="0.1"/>
    <n v="3072.3"/>
    <x v="0"/>
    <x v="2"/>
    <n v="3072.303"/>
    <n v="2025"/>
    <x v="8"/>
    <x v="2"/>
    <n v="768.075"/>
    <n v="553.014"/>
    <n v="2519.286"/>
    <s v="Low"/>
    <m/>
  </r>
  <r>
    <n v="1015"/>
    <d v="2025-09-20T00:00:00"/>
    <x v="0"/>
    <x v="4"/>
    <s v="Customer_61"/>
    <x v="2"/>
    <x v="3"/>
    <n v="2"/>
    <n v="700.13"/>
    <n v="0.05"/>
    <n v="1330.25"/>
    <x v="1"/>
    <x v="2"/>
    <n v="1330.247"/>
    <n v="2025"/>
    <x v="8"/>
    <x v="2"/>
    <n v="332.5625"/>
    <n v="239.445"/>
    <n v="1090.805"/>
    <s v="Low"/>
    <m/>
  </r>
  <r>
    <n v="1189"/>
    <d v="2025-09-23T00:00:00"/>
    <x v="1"/>
    <x v="4"/>
    <s v="Customer_55"/>
    <x v="0"/>
    <x v="5"/>
    <n v="13"/>
    <n v="505.05"/>
    <n v="0"/>
    <n v="6565.65"/>
    <x v="2"/>
    <x v="2"/>
    <n v="6565.650000000001"/>
    <n v="2025"/>
    <x v="8"/>
    <x v="2"/>
    <n v="1641.4125"/>
    <n v="1181.817"/>
    <n v="5383.833"/>
    <s v="Medium"/>
    <m/>
  </r>
  <r>
    <n v="1267"/>
    <d v="2025-09-24T00:00:00"/>
    <x v="0"/>
    <x v="5"/>
    <s v="Customer_7"/>
    <x v="0"/>
    <x v="5"/>
    <n v="10"/>
    <n v="468.2"/>
    <n v="0.15"/>
    <n v="3979.7"/>
    <x v="1"/>
    <x v="2"/>
    <n v="3979.7"/>
    <n v="2025"/>
    <x v="8"/>
    <x v="2"/>
    <n v="994.925"/>
    <n v="716.3459999999999"/>
    <n v="3263.354"/>
    <s v="Low"/>
    <m/>
  </r>
  <r>
    <n v="1197"/>
    <d v="2025-09-25T00:00:00"/>
    <x v="2"/>
    <x v="3"/>
    <s v="Customer_10"/>
    <x v="2"/>
    <x v="6"/>
    <n v="3"/>
    <n v="358.72"/>
    <n v="0.05"/>
    <n v="1022.35"/>
    <x v="2"/>
    <x v="1"/>
    <n v="1022.352"/>
    <n v="2025"/>
    <x v="8"/>
    <x v="2"/>
    <n v="255.5875"/>
    <n v="184.023"/>
    <n v="838.327"/>
    <s v="Low"/>
    <m/>
  </r>
  <r>
    <n v="1249"/>
    <d v="2025-09-27T00:00:00"/>
    <x v="1"/>
    <x v="1"/>
    <s v="Customer_46"/>
    <x v="1"/>
    <x v="4"/>
    <n v="13"/>
    <n v="339.22"/>
    <n v="0.1"/>
    <n v="3968.87"/>
    <x v="1"/>
    <x v="2"/>
    <n v="3968.874000000001"/>
    <n v="2025"/>
    <x v="8"/>
    <x v="2"/>
    <n v="992.2175"/>
    <n v="714.3965999999999"/>
    <n v="3254.4734"/>
    <s v="Low"/>
    <m/>
  </r>
  <r>
    <n v="1067"/>
    <d v="2025-10-03T00:00:00"/>
    <x v="3"/>
    <x v="1"/>
    <s v="Customer_32"/>
    <x v="1"/>
    <x v="1"/>
    <n v="7"/>
    <n v="382.33"/>
    <n v="0.05"/>
    <n v="2542.49"/>
    <x v="0"/>
    <x v="0"/>
    <n v="2542.4945"/>
    <n v="2025"/>
    <x v="9"/>
    <x v="3"/>
    <n v="635.6224999999999"/>
    <n v="457.6481999999999"/>
    <n v="2084.8418"/>
    <s v="Low"/>
    <m/>
  </r>
  <r>
    <n v="1236"/>
    <d v="2025-10-05T00:00:00"/>
    <x v="1"/>
    <x v="0"/>
    <s v="Customer_11"/>
    <x v="1"/>
    <x v="1"/>
    <n v="11"/>
    <n v="845.4400000000001"/>
    <n v="0.1"/>
    <n v="8369.860000000001"/>
    <x v="1"/>
    <x v="0"/>
    <n v="8369.856"/>
    <n v="2025"/>
    <x v="9"/>
    <x v="3"/>
    <n v="2092.465"/>
    <n v="1506.5748"/>
    <n v="6863.2852"/>
    <s v="Medium"/>
    <m/>
  </r>
  <r>
    <n v="1040"/>
    <d v="2025-10-09T00:00:00"/>
    <x v="1"/>
    <x v="1"/>
    <s v="Customer_27"/>
    <x v="1"/>
    <x v="4"/>
    <n v="4"/>
    <n v="714"/>
    <n v="0"/>
    <n v="2856"/>
    <x v="2"/>
    <x v="1"/>
    <n v="2856"/>
    <n v="2025"/>
    <x v="9"/>
    <x v="3"/>
    <n v="714"/>
    <n v="514.0799999999999"/>
    <n v="2341.92"/>
    <s v="Low"/>
    <m/>
  </r>
  <r>
    <n v="1296"/>
    <d v="2025-10-09T00:00:00"/>
    <x v="2"/>
    <x v="3"/>
    <s v="Customer_74"/>
    <x v="0"/>
    <x v="0"/>
    <n v="11"/>
    <n v="738.1799999999999"/>
    <n v="0.15"/>
    <n v="6901.98"/>
    <x v="2"/>
    <x v="2"/>
    <n v="6901.982999999999"/>
    <n v="2025"/>
    <x v="9"/>
    <x v="3"/>
    <n v="1725.495"/>
    <n v="1242.3564"/>
    <n v="5659.6236"/>
    <s v="Medium"/>
    <m/>
  </r>
  <r>
    <n v="1105"/>
    <d v="2025-10-10T00:00:00"/>
    <x v="0"/>
    <x v="0"/>
    <s v="Customer_14"/>
    <x v="2"/>
    <x v="7"/>
    <n v="13"/>
    <n v="778.87"/>
    <n v="0.05"/>
    <n v="9619.040000000001"/>
    <x v="0"/>
    <x v="0"/>
    <n v="9619.0445"/>
    <n v="2025"/>
    <x v="9"/>
    <x v="3"/>
    <n v="2404.76"/>
    <n v="1731.4272"/>
    <n v="7887.612800000001"/>
    <s v="Medium"/>
    <m/>
  </r>
  <r>
    <n v="1291"/>
    <d v="2025-10-11T00:00:00"/>
    <x v="1"/>
    <x v="2"/>
    <s v="Customer_16"/>
    <x v="0"/>
    <x v="2"/>
    <n v="4"/>
    <n v="882.92"/>
    <n v="0.1"/>
    <n v="3178.51"/>
    <x v="1"/>
    <x v="2"/>
    <n v="3178.512"/>
    <n v="2025"/>
    <x v="9"/>
    <x v="3"/>
    <n v="794.6275000000001"/>
    <n v="572.1318"/>
    <n v="2606.3782"/>
    <s v="Low"/>
    <m/>
  </r>
  <r>
    <n v="1038"/>
    <d v="2025-10-12T00:00:00"/>
    <x v="0"/>
    <x v="2"/>
    <s v="Customer_31"/>
    <x v="2"/>
    <x v="7"/>
    <n v="5"/>
    <n v="229.27"/>
    <n v="0.15"/>
    <n v="974.4"/>
    <x v="2"/>
    <x v="0"/>
    <n v="974.3975"/>
    <n v="2025"/>
    <x v="9"/>
    <x v="3"/>
    <n v="243.6"/>
    <n v="175.392"/>
    <n v="799.008"/>
    <s v="Low"/>
    <m/>
  </r>
  <r>
    <n v="1191"/>
    <d v="2025-10-16T00:00:00"/>
    <x v="2"/>
    <x v="5"/>
    <s v="Customer_43"/>
    <x v="0"/>
    <x v="2"/>
    <n v="3"/>
    <n v="42.16"/>
    <n v="0.05"/>
    <n v="120.16"/>
    <x v="2"/>
    <x v="2"/>
    <n v="120.156"/>
    <n v="2025"/>
    <x v="9"/>
    <x v="3"/>
    <n v="30.04"/>
    <n v="21.6288"/>
    <n v="98.5312"/>
    <s v="Low"/>
    <m/>
  </r>
  <r>
    <n v="1134"/>
    <d v="2025-10-17T00:00:00"/>
    <x v="2"/>
    <x v="2"/>
    <s v="Customer_37"/>
    <x v="0"/>
    <x v="0"/>
    <n v="12"/>
    <n v="306.15"/>
    <n v="0.05"/>
    <n v="3490.11"/>
    <x v="1"/>
    <x v="0"/>
    <n v="3490.11"/>
    <n v="2025"/>
    <x v="9"/>
    <x v="3"/>
    <n v="872.5275"/>
    <n v="628.2198"/>
    <n v="2861.8902"/>
    <s v="Low"/>
    <m/>
  </r>
  <r>
    <n v="1254"/>
    <d v="2025-10-17T00:00:00"/>
    <x v="0"/>
    <x v="0"/>
    <s v="Customer_53"/>
    <x v="1"/>
    <x v="4"/>
    <n v="1"/>
    <n v="15.14"/>
    <n v="0"/>
    <n v="15.14"/>
    <x v="2"/>
    <x v="0"/>
    <n v="15.14"/>
    <n v="2025"/>
    <x v="9"/>
    <x v="3"/>
    <n v="3.785"/>
    <n v="2.7252"/>
    <n v="12.4148"/>
    <s v="Low"/>
    <m/>
  </r>
  <r>
    <n v="1282"/>
    <d v="2025-10-19T00:00:00"/>
    <x v="0"/>
    <x v="4"/>
    <s v="Customer_3"/>
    <x v="2"/>
    <x v="7"/>
    <n v="12"/>
    <n v="753.77"/>
    <n v="0.1"/>
    <n v="8140.72"/>
    <x v="2"/>
    <x v="2"/>
    <n v="8140.716"/>
    <n v="2025"/>
    <x v="9"/>
    <x v="3"/>
    <n v="2035.18"/>
    <n v="1465.3296"/>
    <n v="6675.3904"/>
    <s v="Medium"/>
    <m/>
  </r>
  <r>
    <n v="1229"/>
    <d v="2025-10-21T00:00:00"/>
    <x v="3"/>
    <x v="3"/>
    <s v="Customer_43"/>
    <x v="1"/>
    <x v="8"/>
    <n v="7"/>
    <n v="139.15"/>
    <n v="0"/>
    <n v="974.05"/>
    <x v="2"/>
    <x v="1"/>
    <n v="974.0500000000001"/>
    <n v="2025"/>
    <x v="9"/>
    <x v="3"/>
    <n v="243.5125"/>
    <n v="175.329"/>
    <n v="798.721"/>
    <s v="Low"/>
    <m/>
  </r>
  <r>
    <n v="1234"/>
    <d v="2025-10-29T00:00:00"/>
    <x v="3"/>
    <x v="3"/>
    <s v="Customer_50"/>
    <x v="2"/>
    <x v="7"/>
    <n v="12"/>
    <n v="219.81"/>
    <n v="0"/>
    <n v="2637.72"/>
    <x v="2"/>
    <x v="0"/>
    <n v="2637.72"/>
    <n v="2025"/>
    <x v="9"/>
    <x v="3"/>
    <n v="659.4299999999999"/>
    <n v="474.7896"/>
    <n v="2162.9304"/>
    <s v="Low"/>
    <m/>
  </r>
  <r>
    <n v="1142"/>
    <d v="2025-11-01T00:00:00"/>
    <x v="1"/>
    <x v="4"/>
    <s v="Customer_61"/>
    <x v="1"/>
    <x v="4"/>
    <n v="9"/>
    <n v="252.58"/>
    <n v="0"/>
    <n v="2273.22"/>
    <x v="2"/>
    <x v="0"/>
    <n v="2273.22"/>
    <n v="2025"/>
    <x v="10"/>
    <x v="3"/>
    <n v="568.3049999999999"/>
    <n v="409.1795999999999"/>
    <n v="1864.0404"/>
    <s v="Low"/>
    <m/>
  </r>
  <r>
    <n v="1289"/>
    <d v="2025-11-01T00:00:00"/>
    <x v="0"/>
    <x v="1"/>
    <s v="Customer_80"/>
    <x v="0"/>
    <x v="0"/>
    <n v="15"/>
    <n v="1129.84"/>
    <n v="0.15"/>
    <n v="14405.46"/>
    <x v="0"/>
    <x v="2"/>
    <n v="14405.46"/>
    <n v="2025"/>
    <x v="10"/>
    <x v="3"/>
    <n v="3601.365"/>
    <n v="2592.9828"/>
    <n v="11812.4772"/>
    <s v="High"/>
    <m/>
  </r>
  <r>
    <n v="1082"/>
    <d v="2025-11-03T00:00:00"/>
    <x v="3"/>
    <x v="2"/>
    <s v="Customer_68"/>
    <x v="1"/>
    <x v="8"/>
    <n v="15"/>
    <n v="515.29"/>
    <n v="0.15"/>
    <n v="6569.95"/>
    <x v="1"/>
    <x v="2"/>
    <n v="6569.947499999999"/>
    <n v="2025"/>
    <x v="10"/>
    <x v="3"/>
    <n v="1642.4875"/>
    <n v="1182.591"/>
    <n v="5387.359"/>
    <s v="Medium"/>
    <m/>
  </r>
  <r>
    <n v="1148"/>
    <d v="2025-11-03T00:00:00"/>
    <x v="1"/>
    <x v="1"/>
    <s v="Customer_28"/>
    <x v="1"/>
    <x v="4"/>
    <n v="2"/>
    <n v="680.6799999999999"/>
    <n v="0"/>
    <n v="1361.36"/>
    <x v="1"/>
    <x v="0"/>
    <n v="1361.36"/>
    <n v="2025"/>
    <x v="10"/>
    <x v="3"/>
    <n v="340.34"/>
    <n v="245.0448"/>
    <n v="1116.3152"/>
    <s v="Low"/>
    <m/>
  </r>
  <r>
    <n v="1022"/>
    <d v="2025-11-04T00:00:00"/>
    <x v="3"/>
    <x v="3"/>
    <s v="Customer_48"/>
    <x v="1"/>
    <x v="1"/>
    <n v="6"/>
    <n v="644.1799999999999"/>
    <n v="0"/>
    <n v="3865.08"/>
    <x v="1"/>
    <x v="1"/>
    <n v="3865.08"/>
    <n v="2025"/>
    <x v="10"/>
    <x v="3"/>
    <n v="966.27"/>
    <n v="695.7144"/>
    <n v="3169.3656"/>
    <s v="Low"/>
    <m/>
  </r>
  <r>
    <n v="1023"/>
    <d v="2025-11-05T00:00:00"/>
    <x v="2"/>
    <x v="4"/>
    <s v="Customer_75"/>
    <x v="0"/>
    <x v="5"/>
    <n v="8"/>
    <n v="1142.66"/>
    <n v="0"/>
    <n v="9141.280000000001"/>
    <x v="1"/>
    <x v="2"/>
    <n v="9141.280000000001"/>
    <n v="2025"/>
    <x v="10"/>
    <x v="3"/>
    <n v="2285.32"/>
    <n v="1645.4304"/>
    <n v="7495.8496"/>
    <s v="Medium"/>
    <m/>
  </r>
  <r>
    <n v="1076"/>
    <d v="2025-11-07T00:00:00"/>
    <x v="3"/>
    <x v="4"/>
    <s v="Customer_20"/>
    <x v="1"/>
    <x v="1"/>
    <n v="4"/>
    <n v="860.3200000000001"/>
    <n v="0.05"/>
    <n v="3269.22"/>
    <x v="1"/>
    <x v="2"/>
    <n v="3269.216"/>
    <n v="2025"/>
    <x v="10"/>
    <x v="3"/>
    <n v="817.3049999999999"/>
    <n v="588.4595999999999"/>
    <n v="2680.7604"/>
    <s v="Low"/>
    <m/>
  </r>
  <r>
    <n v="1280"/>
    <d v="2025-11-12T00:00:00"/>
    <x v="1"/>
    <x v="5"/>
    <s v="Customer_72"/>
    <x v="1"/>
    <x v="8"/>
    <n v="6"/>
    <n v="177.72"/>
    <n v="0.05"/>
    <n v="1013"/>
    <x v="2"/>
    <x v="2"/>
    <n v="1013.004"/>
    <n v="2025"/>
    <x v="10"/>
    <x v="3"/>
    <n v="253.25"/>
    <n v="182.34"/>
    <n v="830.66"/>
    <s v="Low"/>
    <m/>
  </r>
  <r>
    <n v="1089"/>
    <d v="2025-11-14T00:00:00"/>
    <x v="3"/>
    <x v="1"/>
    <s v="Customer_69"/>
    <x v="0"/>
    <x v="2"/>
    <n v="7"/>
    <n v="1167.59"/>
    <n v="0"/>
    <n v="8173.13"/>
    <x v="0"/>
    <x v="2"/>
    <n v="8173.129999999999"/>
    <n v="2025"/>
    <x v="10"/>
    <x v="3"/>
    <n v="2043.2825"/>
    <n v="1471.1634"/>
    <n v="6701.9666"/>
    <s v="Medium"/>
    <m/>
  </r>
  <r>
    <n v="1178"/>
    <d v="2025-11-16T00:00:00"/>
    <x v="2"/>
    <x v="2"/>
    <s v="Customer_63"/>
    <x v="1"/>
    <x v="4"/>
    <n v="1"/>
    <n v="778.23"/>
    <n v="0.1"/>
    <n v="700.41"/>
    <x v="2"/>
    <x v="0"/>
    <n v="700.407"/>
    <n v="2025"/>
    <x v="10"/>
    <x v="3"/>
    <n v="175.1025"/>
    <n v="126.0738"/>
    <n v="574.3362"/>
    <s v="Low"/>
    <m/>
  </r>
  <r>
    <n v="1200"/>
    <d v="2025-11-17T00:00:00"/>
    <x v="3"/>
    <x v="1"/>
    <s v="Customer_11"/>
    <x v="0"/>
    <x v="0"/>
    <n v="14"/>
    <n v="173.55"/>
    <n v="0.1"/>
    <n v="2186.73"/>
    <x v="2"/>
    <x v="2"/>
    <n v="2186.73"/>
    <n v="2025"/>
    <x v="10"/>
    <x v="3"/>
    <n v="546.6825"/>
    <n v="393.6114"/>
    <n v="1793.1186"/>
    <s v="Low"/>
    <m/>
  </r>
  <r>
    <n v="1058"/>
    <d v="2025-11-19T00:00:00"/>
    <x v="2"/>
    <x v="3"/>
    <s v="Customer_9"/>
    <x v="0"/>
    <x v="2"/>
    <n v="13"/>
    <n v="165.44"/>
    <n v="0.05"/>
    <n v="2043.18"/>
    <x v="1"/>
    <x v="2"/>
    <n v="2043.184"/>
    <n v="2025"/>
    <x v="10"/>
    <x v="3"/>
    <n v="510.795"/>
    <n v="367.7724"/>
    <n v="1675.4076"/>
    <s v="Low"/>
    <m/>
  </r>
  <r>
    <n v="1032"/>
    <d v="2025-11-25T00:00:00"/>
    <x v="0"/>
    <x v="4"/>
    <s v="Customer_30"/>
    <x v="1"/>
    <x v="1"/>
    <n v="3"/>
    <n v="493.51"/>
    <n v="0"/>
    <n v="1480.53"/>
    <x v="1"/>
    <x v="2"/>
    <n v="1480.53"/>
    <n v="2025"/>
    <x v="10"/>
    <x v="3"/>
    <n v="370.1325"/>
    <n v="266.4954"/>
    <n v="1214.0346"/>
    <s v="Low"/>
    <m/>
  </r>
  <r>
    <n v="1233"/>
    <d v="2025-11-26T00:00:00"/>
    <x v="3"/>
    <x v="5"/>
    <s v="Customer_28"/>
    <x v="2"/>
    <x v="7"/>
    <n v="3"/>
    <n v="720.4299999999999"/>
    <n v="0.05"/>
    <n v="2053.23"/>
    <x v="1"/>
    <x v="2"/>
    <n v="2053.2255"/>
    <n v="2025"/>
    <x v="10"/>
    <x v="3"/>
    <n v="513.3075"/>
    <n v="369.5814"/>
    <n v="1683.6486"/>
    <s v="Low"/>
    <m/>
  </r>
  <r>
    <n v="1281"/>
    <d v="2025-11-29T00:00:00"/>
    <x v="2"/>
    <x v="3"/>
    <s v="Customer_52"/>
    <x v="0"/>
    <x v="5"/>
    <n v="7"/>
    <n v="178.11"/>
    <n v="0.1"/>
    <n v="1122.09"/>
    <x v="2"/>
    <x v="1"/>
    <n v="1122.093"/>
    <n v="2025"/>
    <x v="10"/>
    <x v="3"/>
    <n v="280.5225"/>
    <n v="201.9762"/>
    <n v="920.1138"/>
    <s v="Low"/>
    <m/>
  </r>
  <r>
    <n v="1228"/>
    <d v="2025-11-30T00:00:00"/>
    <x v="1"/>
    <x v="4"/>
    <s v="Customer_80"/>
    <x v="0"/>
    <x v="5"/>
    <n v="12"/>
    <n v="452.76"/>
    <n v="0.15"/>
    <n v="4618.15"/>
    <x v="2"/>
    <x v="0"/>
    <n v="4618.152"/>
    <n v="2025"/>
    <x v="10"/>
    <x v="3"/>
    <n v="1154.5375"/>
    <n v="831.2669999999999"/>
    <n v="3786.883"/>
    <s v="Low"/>
    <m/>
  </r>
  <r>
    <n v="1225"/>
    <d v="2025-12-01T00:00:00"/>
    <x v="3"/>
    <x v="2"/>
    <s v="Customer_22"/>
    <x v="2"/>
    <x v="7"/>
    <n v="15"/>
    <n v="173.11"/>
    <n v="0.05"/>
    <n v="2466.82"/>
    <x v="0"/>
    <x v="1"/>
    <n v="2466.8175"/>
    <n v="2025"/>
    <x v="11"/>
    <x v="3"/>
    <n v="616.705"/>
    <n v="444.0276"/>
    <n v="2022.7924"/>
    <s v="Low"/>
    <m/>
  </r>
  <r>
    <n v="1209"/>
    <d v="2025-12-03T00:00:00"/>
    <x v="3"/>
    <x v="3"/>
    <s v="Customer_15"/>
    <x v="0"/>
    <x v="0"/>
    <n v="15"/>
    <n v="558.47"/>
    <n v="0"/>
    <n v="8377.049999999999"/>
    <x v="1"/>
    <x v="1"/>
    <n v="8377.050000000001"/>
    <n v="2025"/>
    <x v="11"/>
    <x v="3"/>
    <n v="2094.2625"/>
    <n v="1507.869"/>
    <n v="6869.181"/>
    <s v="Medium"/>
    <m/>
  </r>
  <r>
    <n v="1253"/>
    <d v="2025-12-05T00:00:00"/>
    <x v="0"/>
    <x v="5"/>
    <s v="Customer_10"/>
    <x v="2"/>
    <x v="6"/>
    <n v="11"/>
    <n v="405.67"/>
    <n v="0"/>
    <n v="4462.37"/>
    <x v="1"/>
    <x v="1"/>
    <n v="4462.37"/>
    <n v="2025"/>
    <x v="11"/>
    <x v="3"/>
    <n v="1115.5925"/>
    <n v="803.2266"/>
    <n v="3659.1434"/>
    <s v="Low"/>
    <m/>
  </r>
  <r>
    <n v="1056"/>
    <d v="2025-12-07T00:00:00"/>
    <x v="0"/>
    <x v="2"/>
    <s v="Customer_53"/>
    <x v="0"/>
    <x v="5"/>
    <n v="8"/>
    <n v="639.7"/>
    <n v="0"/>
    <n v="5117.6"/>
    <x v="1"/>
    <x v="0"/>
    <n v="5117.6"/>
    <n v="2025"/>
    <x v="11"/>
    <x v="3"/>
    <n v="1279.4"/>
    <n v="921.168"/>
    <n v="4196.432000000001"/>
    <s v="Medium"/>
    <m/>
  </r>
  <r>
    <n v="1122"/>
    <d v="2025-12-09T00:00:00"/>
    <x v="0"/>
    <x v="3"/>
    <s v="Customer_30"/>
    <x v="1"/>
    <x v="8"/>
    <n v="7"/>
    <n v="161.07"/>
    <n v="0"/>
    <n v="1127.49"/>
    <x v="2"/>
    <x v="2"/>
    <n v="1127.49"/>
    <n v="2025"/>
    <x v="11"/>
    <x v="3"/>
    <n v="281.8725"/>
    <n v="202.9482"/>
    <n v="924.5418"/>
    <s v="Low"/>
    <m/>
  </r>
  <r>
    <n v="1173"/>
    <d v="2025-12-09T00:00:00"/>
    <x v="1"/>
    <x v="5"/>
    <s v="Customer_55"/>
    <x v="2"/>
    <x v="3"/>
    <n v="7"/>
    <n v="859.04"/>
    <n v="0"/>
    <n v="6013.28"/>
    <x v="1"/>
    <x v="2"/>
    <n v="6013.28"/>
    <n v="2025"/>
    <x v="11"/>
    <x v="3"/>
    <n v="1503.32"/>
    <n v="1082.3904"/>
    <n v="4930.8896"/>
    <s v="Medium"/>
    <m/>
  </r>
  <r>
    <n v="1070"/>
    <d v="2025-12-12T00:00:00"/>
    <x v="2"/>
    <x v="1"/>
    <s v="Customer_36"/>
    <x v="2"/>
    <x v="3"/>
    <n v="9"/>
    <n v="543.9299999999999"/>
    <n v="0.1"/>
    <n v="4405.83"/>
    <x v="0"/>
    <x v="2"/>
    <n v="4405.833"/>
    <n v="2025"/>
    <x v="11"/>
    <x v="3"/>
    <n v="1101.4575"/>
    <n v="793.0494"/>
    <n v="3612.7806"/>
    <s v="Low"/>
    <m/>
  </r>
  <r>
    <n v="1279"/>
    <d v="2025-12-12T00:00:00"/>
    <x v="1"/>
    <x v="3"/>
    <s v="Customer_39"/>
    <x v="2"/>
    <x v="7"/>
    <n v="9"/>
    <n v="1016.59"/>
    <n v="0.15"/>
    <n v="7776.91"/>
    <x v="0"/>
    <x v="0"/>
    <n v="7776.9135"/>
    <n v="2025"/>
    <x v="11"/>
    <x v="3"/>
    <n v="1944.2275"/>
    <n v="1399.8438"/>
    <n v="6377.0662"/>
    <s v="Medium"/>
    <m/>
  </r>
  <r>
    <n v="1157"/>
    <d v="2025-12-15T00:00:00"/>
    <x v="2"/>
    <x v="4"/>
    <s v="Customer_5"/>
    <x v="1"/>
    <x v="8"/>
    <n v="15"/>
    <n v="269.54"/>
    <n v="0.15"/>
    <n v="3436.64"/>
    <x v="1"/>
    <x v="0"/>
    <n v="3436.635"/>
    <n v="2025"/>
    <x v="11"/>
    <x v="3"/>
    <n v="859.16"/>
    <n v="618.5952"/>
    <n v="2818.0448"/>
    <s v="Low"/>
    <m/>
  </r>
  <r>
    <n v="1163"/>
    <d v="2025-12-18T00:00:00"/>
    <x v="0"/>
    <x v="2"/>
    <s v="Customer_16"/>
    <x v="2"/>
    <x v="3"/>
    <n v="10"/>
    <n v="680.99"/>
    <n v="0.15"/>
    <n v="5788.41"/>
    <x v="2"/>
    <x v="1"/>
    <n v="5788.415"/>
    <n v="2025"/>
    <x v="11"/>
    <x v="3"/>
    <n v="1447.1025"/>
    <n v="1041.9138"/>
    <n v="4746.4962"/>
    <s v="Medium"/>
    <m/>
  </r>
  <r>
    <n v="1094"/>
    <d v="2025-12-20T00:00:00"/>
    <x v="1"/>
    <x v="2"/>
    <s v="Customer_32"/>
    <x v="1"/>
    <x v="4"/>
    <n v="14"/>
    <n v="587.35"/>
    <n v="0.05"/>
    <n v="7811.75"/>
    <x v="2"/>
    <x v="1"/>
    <n v="7811.754999999999"/>
    <n v="2025"/>
    <x v="11"/>
    <x v="3"/>
    <n v="1952.9375"/>
    <n v="1406.115"/>
    <n v="6405.635"/>
    <s v="Medium"/>
    <m/>
  </r>
  <r>
    <n v="1263"/>
    <d v="2025-12-20T00:00:00"/>
    <x v="0"/>
    <x v="0"/>
    <s v="Customer_71"/>
    <x v="0"/>
    <x v="2"/>
    <n v="5"/>
    <n v="1052.71"/>
    <n v="0.15"/>
    <n v="4474.02"/>
    <x v="1"/>
    <x v="2"/>
    <n v="4474.0175"/>
    <n v="2025"/>
    <x v="11"/>
    <x v="3"/>
    <n v="1118.505"/>
    <n v="805.3236000000001"/>
    <n v="3668.6964"/>
    <s v="Low"/>
    <m/>
  </r>
  <r>
    <n v="1130"/>
    <d v="2025-12-22T00:00:00"/>
    <x v="2"/>
    <x v="0"/>
    <s v="Customer_29"/>
    <x v="2"/>
    <x v="7"/>
    <n v="10"/>
    <n v="440.81"/>
    <n v="0.15"/>
    <n v="3746.89"/>
    <x v="0"/>
    <x v="1"/>
    <n v="3746.885"/>
    <n v="2025"/>
    <x v="11"/>
    <x v="3"/>
    <n v="936.7225"/>
    <n v="674.4402"/>
    <n v="3072.4498"/>
    <s v="Low"/>
    <m/>
  </r>
  <r>
    <n v="1057"/>
    <d v="2025-12-23T00:00:00"/>
    <x v="2"/>
    <x v="5"/>
    <s v="Customer_1"/>
    <x v="2"/>
    <x v="3"/>
    <n v="9"/>
    <n v="43.43"/>
    <n v="0.15"/>
    <n v="332.24"/>
    <x v="0"/>
    <x v="0"/>
    <n v="332.2395"/>
    <n v="2025"/>
    <x v="11"/>
    <x v="3"/>
    <n v="83.06"/>
    <n v="59.8032"/>
    <n v="272.4368"/>
    <s v="Low"/>
    <m/>
  </r>
  <r>
    <n v="1252"/>
    <d v="2025-12-23T00:00:00"/>
    <x v="2"/>
    <x v="2"/>
    <s v="Customer_7"/>
    <x v="1"/>
    <x v="8"/>
    <n v="11"/>
    <n v="597.4400000000001"/>
    <n v="0.1"/>
    <n v="5914.66"/>
    <x v="2"/>
    <x v="2"/>
    <n v="5914.656"/>
    <n v="2025"/>
    <x v="11"/>
    <x v="3"/>
    <n v="1478.665"/>
    <n v="1064.6388"/>
    <n v="4850.0212"/>
    <s v="Medium"/>
    <m/>
  </r>
  <r>
    <n v="1065"/>
    <d v="2025-12-24T00:00:00"/>
    <x v="1"/>
    <x v="3"/>
    <s v="Customer_27"/>
    <x v="0"/>
    <x v="2"/>
    <n v="13"/>
    <n v="1000.28"/>
    <n v="0.15"/>
    <n v="11053.09"/>
    <x v="2"/>
    <x v="2"/>
    <n v="11053.094"/>
    <n v="2025"/>
    <x v="11"/>
    <x v="3"/>
    <n v="2763.2725"/>
    <n v="1989.5562"/>
    <n v="9063.533800000001"/>
    <s v="High"/>
    <m/>
  </r>
  <r>
    <n v="1136"/>
    <d v="2025-12-26T00:00:00"/>
    <x v="1"/>
    <x v="1"/>
    <s v="Customer_62"/>
    <x v="0"/>
    <x v="5"/>
    <n v="15"/>
    <n v="628.37"/>
    <n v="0.1"/>
    <n v="8482.99"/>
    <x v="2"/>
    <x v="2"/>
    <n v="8482.994999999999"/>
    <n v="2025"/>
    <x v="11"/>
    <x v="3"/>
    <n v="2120.7475"/>
    <n v="1526.9382"/>
    <n v="6956.0518"/>
    <s v="Medium"/>
    <m/>
  </r>
  <r>
    <n v="1097"/>
    <d v="2026-01-03T00:00:00"/>
    <x v="3"/>
    <x v="0"/>
    <s v="Customer_56"/>
    <x v="0"/>
    <x v="0"/>
    <n v="5"/>
    <n v="816.74"/>
    <n v="0.1"/>
    <n v="3675.33"/>
    <x v="0"/>
    <x v="2"/>
    <n v="3675.33"/>
    <n v="2026"/>
    <x v="0"/>
    <x v="0"/>
    <n v="918.8325"/>
    <n v="661.5594"/>
    <n v="3013.7706"/>
    <s v="Low"/>
    <m/>
  </r>
  <r>
    <n v="1009"/>
    <d v="2026-01-04T00:00:00"/>
    <x v="3"/>
    <x v="0"/>
    <s v="Customer_73"/>
    <x v="2"/>
    <x v="6"/>
    <n v="6"/>
    <n v="418.1"/>
    <n v="0.05"/>
    <n v="2383.17"/>
    <x v="1"/>
    <x v="2"/>
    <n v="2383.17"/>
    <n v="2026"/>
    <x v="0"/>
    <x v="0"/>
    <n v="595.7925"/>
    <n v="428.9706"/>
    <n v="1954.1994"/>
    <s v="Low"/>
    <m/>
  </r>
  <r>
    <n v="1140"/>
    <d v="2026-01-04T00:00:00"/>
    <x v="2"/>
    <x v="2"/>
    <s v="Customer_31"/>
    <x v="2"/>
    <x v="3"/>
    <n v="13"/>
    <n v="284.4"/>
    <n v="0.05"/>
    <n v="3512.34"/>
    <x v="0"/>
    <x v="2"/>
    <n v="3512.34"/>
    <n v="2026"/>
    <x v="0"/>
    <x v="0"/>
    <n v="878.085"/>
    <n v="632.2212"/>
    <n v="2880.1188"/>
    <s v="Low"/>
    <m/>
  </r>
  <r>
    <n v="1224"/>
    <d v="2026-01-05T00:00:00"/>
    <x v="3"/>
    <x v="1"/>
    <s v="Customer_72"/>
    <x v="0"/>
    <x v="2"/>
    <n v="4"/>
    <n v="1032.07"/>
    <n v="0.05"/>
    <n v="3921.87"/>
    <x v="0"/>
    <x v="2"/>
    <n v="3921.866"/>
    <n v="2026"/>
    <x v="0"/>
    <x v="0"/>
    <n v="980.4675"/>
    <n v="705.9366"/>
    <n v="3215.9334"/>
    <s v="Low"/>
    <m/>
  </r>
  <r>
    <n v="1145"/>
    <d v="2026-01-06T00:00:00"/>
    <x v="3"/>
    <x v="3"/>
    <s v="Customer_39"/>
    <x v="0"/>
    <x v="0"/>
    <n v="14"/>
    <n v="341.26"/>
    <n v="0.05"/>
    <n v="4538.76"/>
    <x v="0"/>
    <x v="0"/>
    <n v="4538.757999999999"/>
    <n v="2026"/>
    <x v="0"/>
    <x v="0"/>
    <n v="1134.69"/>
    <n v="816.9768"/>
    <n v="3721.7832"/>
    <s v="Low"/>
    <m/>
  </r>
  <r>
    <n v="1146"/>
    <d v="2026-01-08T00:00:00"/>
    <x v="1"/>
    <x v="3"/>
    <s v="Customer_50"/>
    <x v="0"/>
    <x v="2"/>
    <n v="1"/>
    <n v="536.5599999999999"/>
    <n v="0.1"/>
    <n v="482.9"/>
    <x v="1"/>
    <x v="0"/>
    <n v="482.9039999999999"/>
    <n v="2026"/>
    <x v="0"/>
    <x v="0"/>
    <n v="120.725"/>
    <n v="86.922"/>
    <n v="395.978"/>
    <s v="Low"/>
    <m/>
  </r>
  <r>
    <n v="1041"/>
    <d v="2026-01-09T00:00:00"/>
    <x v="2"/>
    <x v="5"/>
    <s v="Customer_38"/>
    <x v="2"/>
    <x v="6"/>
    <n v="2"/>
    <n v="24.82"/>
    <n v="0.15"/>
    <n v="42.19"/>
    <x v="2"/>
    <x v="1"/>
    <n v="42.194"/>
    <n v="2026"/>
    <x v="0"/>
    <x v="0"/>
    <n v="10.5475"/>
    <n v="7.594199999999999"/>
    <n v="34.5958"/>
    <s v="Low"/>
    <m/>
  </r>
  <r>
    <n v="1205"/>
    <d v="2026-01-09T00:00:00"/>
    <x v="1"/>
    <x v="2"/>
    <s v="Customer_63"/>
    <x v="2"/>
    <x v="6"/>
    <n v="2"/>
    <n v="919.46"/>
    <n v="0.05"/>
    <n v="1746.97"/>
    <x v="0"/>
    <x v="1"/>
    <n v="1746.974"/>
    <n v="2026"/>
    <x v="0"/>
    <x v="0"/>
    <n v="436.7425"/>
    <n v="314.4546"/>
    <n v="1432.5154"/>
    <s v="Low"/>
    <m/>
  </r>
  <r>
    <n v="1077"/>
    <d v="2026-01-10T00:00:00"/>
    <x v="1"/>
    <x v="2"/>
    <s v="Customer_66"/>
    <x v="2"/>
    <x v="6"/>
    <n v="9"/>
    <n v="819.45"/>
    <n v="0.1"/>
    <n v="6637.55"/>
    <x v="2"/>
    <x v="2"/>
    <n v="6637.545"/>
    <n v="2026"/>
    <x v="0"/>
    <x v="0"/>
    <n v="1659.3875"/>
    <n v="1194.759"/>
    <n v="5442.791"/>
    <s v="Medium"/>
    <m/>
  </r>
  <r>
    <n v="1121"/>
    <d v="2026-01-10T00:00:00"/>
    <x v="2"/>
    <x v="5"/>
    <s v="Customer_13"/>
    <x v="1"/>
    <x v="1"/>
    <n v="3"/>
    <n v="78.92"/>
    <n v="0.15"/>
    <n v="201.25"/>
    <x v="0"/>
    <x v="2"/>
    <n v="201.246"/>
    <n v="2026"/>
    <x v="0"/>
    <x v="0"/>
    <n v="50.3125"/>
    <n v="36.225"/>
    <n v="165.025"/>
    <s v="Low"/>
    <m/>
  </r>
  <r>
    <n v="1264"/>
    <d v="2026-01-10T00:00:00"/>
    <x v="1"/>
    <x v="2"/>
    <s v="Customer_40"/>
    <x v="1"/>
    <x v="8"/>
    <n v="14"/>
    <n v="947.28"/>
    <n v="0.05"/>
    <n v="12598.82"/>
    <x v="1"/>
    <x v="2"/>
    <n v="12598.824"/>
    <n v="2026"/>
    <x v="0"/>
    <x v="0"/>
    <n v="3149.705"/>
    <n v="2267.7876"/>
    <n v="10331.0324"/>
    <s v="High"/>
    <m/>
  </r>
  <r>
    <n v="1294"/>
    <d v="2026-01-13T00:00:00"/>
    <x v="3"/>
    <x v="3"/>
    <s v="Customer_66"/>
    <x v="0"/>
    <x v="0"/>
    <n v="6"/>
    <n v="348.5"/>
    <n v="0"/>
    <n v="2091"/>
    <x v="2"/>
    <x v="0"/>
    <n v="2091"/>
    <n v="2026"/>
    <x v="0"/>
    <x v="0"/>
    <n v="522.75"/>
    <n v="376.38"/>
    <n v="1714.62"/>
    <s v="Low"/>
    <m/>
  </r>
  <r>
    <n v="1133"/>
    <d v="2026-01-14T00:00:00"/>
    <x v="0"/>
    <x v="0"/>
    <s v="Customer_44"/>
    <x v="1"/>
    <x v="4"/>
    <n v="10"/>
    <n v="1088.83"/>
    <n v="0.1"/>
    <n v="9799.469999999999"/>
    <x v="0"/>
    <x v="2"/>
    <n v="9799.469999999999"/>
    <n v="2026"/>
    <x v="0"/>
    <x v="0"/>
    <n v="2449.8675"/>
    <n v="1763.9046"/>
    <n v="8035.565399999999"/>
    <s v="Medium"/>
    <m/>
  </r>
  <r>
    <n v="1278"/>
    <d v="2026-01-14T00:00:00"/>
    <x v="2"/>
    <x v="3"/>
    <s v="Customer_8"/>
    <x v="2"/>
    <x v="7"/>
    <n v="4"/>
    <n v="209.36"/>
    <n v="0"/>
    <n v="837.4400000000001"/>
    <x v="1"/>
    <x v="0"/>
    <n v="837.4400000000001"/>
    <n v="2026"/>
    <x v="0"/>
    <x v="0"/>
    <n v="209.36"/>
    <n v="150.7392"/>
    <n v="686.7008000000001"/>
    <s v="Low"/>
    <m/>
  </r>
  <r>
    <n v="1179"/>
    <d v="2026-01-16T00:00:00"/>
    <x v="1"/>
    <x v="1"/>
    <s v="Customer_22"/>
    <x v="0"/>
    <x v="5"/>
    <n v="13"/>
    <n v="337.8"/>
    <n v="0.05"/>
    <n v="4171.83"/>
    <x v="0"/>
    <x v="2"/>
    <n v="4171.83"/>
    <n v="2026"/>
    <x v="0"/>
    <x v="0"/>
    <n v="1042.9575"/>
    <n v="750.9294"/>
    <n v="3420.9006"/>
    <s v="Low"/>
    <m/>
  </r>
  <r>
    <n v="1192"/>
    <d v="2026-01-16T00:00:00"/>
    <x v="0"/>
    <x v="2"/>
    <s v="Customer_55"/>
    <x v="1"/>
    <x v="8"/>
    <n v="10"/>
    <n v="825.5700000000001"/>
    <n v="0.05"/>
    <n v="7842.91"/>
    <x v="2"/>
    <x v="1"/>
    <n v="7842.915"/>
    <n v="2026"/>
    <x v="0"/>
    <x v="0"/>
    <n v="1960.7275"/>
    <n v="1411.7238"/>
    <n v="6431.1862"/>
    <s v="Medium"/>
    <m/>
  </r>
  <r>
    <n v="1150"/>
    <d v="2026-01-17T00:00:00"/>
    <x v="1"/>
    <x v="5"/>
    <s v="Customer_32"/>
    <x v="0"/>
    <x v="2"/>
    <n v="10"/>
    <n v="293.95"/>
    <n v="0"/>
    <n v="2939.5"/>
    <x v="0"/>
    <x v="1"/>
    <n v="2939.5"/>
    <n v="2026"/>
    <x v="0"/>
    <x v="0"/>
    <n v="734.875"/>
    <n v="529.11"/>
    <n v="2410.39"/>
    <s v="Low"/>
    <m/>
  </r>
  <r>
    <n v="1213"/>
    <d v="2026-01-27T00:00:00"/>
    <x v="0"/>
    <x v="3"/>
    <s v="Customer_22"/>
    <x v="1"/>
    <x v="4"/>
    <n v="11"/>
    <n v="920.4299999999999"/>
    <n v="0.15"/>
    <n v="8606.02"/>
    <x v="0"/>
    <x v="1"/>
    <n v="8606.020499999999"/>
    <n v="2026"/>
    <x v="0"/>
    <x v="0"/>
    <n v="2151.505"/>
    <n v="1549.0836"/>
    <n v="7056.936400000001"/>
    <s v="Medium"/>
    <m/>
  </r>
  <r>
    <n v="1016"/>
    <d v="2026-01-28T00:00:00"/>
    <x v="1"/>
    <x v="3"/>
    <s v="Customer_61"/>
    <x v="2"/>
    <x v="7"/>
    <n v="15"/>
    <n v="1045.41"/>
    <n v="0"/>
    <n v="15681.15"/>
    <x v="0"/>
    <x v="1"/>
    <n v="15681.15"/>
    <n v="2026"/>
    <x v="0"/>
    <x v="0"/>
    <n v="3920.2875"/>
    <n v="2822.607"/>
    <n v="12858.543"/>
    <s v="High"/>
    <m/>
  </r>
  <r>
    <n v="1211"/>
    <d v="2026-01-31T00:00:00"/>
    <x v="2"/>
    <x v="5"/>
    <s v="Customer_61"/>
    <x v="0"/>
    <x v="5"/>
    <n v="11"/>
    <n v="1008.74"/>
    <n v="0.05"/>
    <n v="10541.33"/>
    <x v="1"/>
    <x v="2"/>
    <n v="10541.333"/>
    <n v="2026"/>
    <x v="0"/>
    <x v="0"/>
    <n v="2635.3325"/>
    <n v="1897.4394"/>
    <n v="8643.890600000001"/>
    <s v="High"/>
    <m/>
  </r>
  <r>
    <n v="1283"/>
    <d v="2026-01-31T00:00:00"/>
    <x v="2"/>
    <x v="5"/>
    <s v="Customer_67"/>
    <x v="0"/>
    <x v="5"/>
    <n v="1"/>
    <n v="1110.37"/>
    <n v="0.1"/>
    <n v="999.33"/>
    <x v="2"/>
    <x v="2"/>
    <n v="999.333"/>
    <n v="2026"/>
    <x v="0"/>
    <x v="0"/>
    <n v="249.8325"/>
    <n v="179.8794"/>
    <n v="819.4506"/>
    <s v="Low"/>
    <m/>
  </r>
  <r>
    <n v="1165"/>
    <d v="2026-02-05T00:00:00"/>
    <x v="1"/>
    <x v="4"/>
    <s v="Customer_73"/>
    <x v="0"/>
    <x v="0"/>
    <n v="2"/>
    <n v="436.09"/>
    <n v="0.15"/>
    <n v="741.35"/>
    <x v="0"/>
    <x v="1"/>
    <n v="741.353"/>
    <n v="2026"/>
    <x v="1"/>
    <x v="0"/>
    <n v="185.3375"/>
    <n v="133.443"/>
    <n v="607.907"/>
    <s v="Low"/>
    <m/>
  </r>
  <r>
    <n v="1011"/>
    <d v="2026-02-06T00:00:00"/>
    <x v="0"/>
    <x v="4"/>
    <s v="Customer_71"/>
    <x v="1"/>
    <x v="8"/>
    <n v="7"/>
    <n v="676"/>
    <n v="0.05"/>
    <n v="4495.4"/>
    <x v="0"/>
    <x v="2"/>
    <n v="4495.4"/>
    <n v="2026"/>
    <x v="1"/>
    <x v="0"/>
    <n v="1123.85"/>
    <n v="809.1719999999999"/>
    <n v="3686.228"/>
    <s v="Low"/>
    <m/>
  </r>
  <r>
    <n v="1162"/>
    <d v="2026-02-07T00:00:00"/>
    <x v="0"/>
    <x v="5"/>
    <s v="Customer_26"/>
    <x v="2"/>
    <x v="7"/>
    <n v="9"/>
    <n v="912.23"/>
    <n v="0.15"/>
    <n v="6978.56"/>
    <x v="2"/>
    <x v="0"/>
    <n v="6978.559499999999"/>
    <n v="2026"/>
    <x v="1"/>
    <x v="0"/>
    <n v="1744.64"/>
    <n v="1256.1408"/>
    <n v="5722.4192"/>
    <s v="Medium"/>
    <m/>
  </r>
  <r>
    <n v="1079"/>
    <d v="2026-02-08T00:00:00"/>
    <x v="1"/>
    <x v="4"/>
    <s v="Customer_79"/>
    <x v="2"/>
    <x v="3"/>
    <n v="2"/>
    <n v="602.16"/>
    <n v="0.1"/>
    <n v="1083.89"/>
    <x v="2"/>
    <x v="0"/>
    <n v="1083.888"/>
    <n v="2026"/>
    <x v="1"/>
    <x v="0"/>
    <n v="270.9725"/>
    <n v="195.1002"/>
    <n v="888.7898000000001"/>
    <s v="Low"/>
    <m/>
  </r>
  <r>
    <n v="1196"/>
    <d v="2026-02-11T00:00:00"/>
    <x v="1"/>
    <x v="2"/>
    <s v="Customer_29"/>
    <x v="2"/>
    <x v="7"/>
    <n v="13"/>
    <n v="726.17"/>
    <n v="0"/>
    <n v="9440.209999999999"/>
    <x v="1"/>
    <x v="1"/>
    <n v="9440.209999999999"/>
    <n v="2026"/>
    <x v="1"/>
    <x v="0"/>
    <n v="2360.0525"/>
    <n v="1699.2378"/>
    <n v="7740.972199999999"/>
    <s v="Medium"/>
    <m/>
  </r>
  <r>
    <n v="1127"/>
    <d v="2026-02-12T00:00:00"/>
    <x v="1"/>
    <x v="5"/>
    <s v="Customer_16"/>
    <x v="2"/>
    <x v="7"/>
    <n v="10"/>
    <n v="256.5"/>
    <n v="0.15"/>
    <n v="2180.25"/>
    <x v="1"/>
    <x v="0"/>
    <n v="2180.25"/>
    <n v="2026"/>
    <x v="1"/>
    <x v="0"/>
    <n v="545.0625"/>
    <n v="392.445"/>
    <n v="1787.805"/>
    <s v="Low"/>
    <m/>
  </r>
  <r>
    <n v="1248"/>
    <d v="2026-02-13T00:00:00"/>
    <x v="1"/>
    <x v="2"/>
    <s v="Customer_14"/>
    <x v="2"/>
    <x v="6"/>
    <n v="10"/>
    <n v="338.87"/>
    <n v="0"/>
    <n v="3388.7"/>
    <x v="1"/>
    <x v="1"/>
    <n v="3388.7"/>
    <n v="2026"/>
    <x v="1"/>
    <x v="0"/>
    <n v="847.175"/>
    <n v="609.9659999999999"/>
    <n v="2778.734"/>
    <s v="Low"/>
    <m/>
  </r>
  <r>
    <n v="1103"/>
    <d v="2026-02-17T00:00:00"/>
    <x v="3"/>
    <x v="2"/>
    <s v="Customer_62"/>
    <x v="2"/>
    <x v="7"/>
    <n v="11"/>
    <n v="414.53"/>
    <n v="0.1"/>
    <n v="4103.85"/>
    <x v="0"/>
    <x v="1"/>
    <n v="4103.847"/>
    <n v="2026"/>
    <x v="1"/>
    <x v="0"/>
    <n v="1025.9625"/>
    <n v="738.693"/>
    <n v="3365.157"/>
    <s v="Low"/>
    <m/>
  </r>
  <r>
    <n v="1175"/>
    <d v="2026-02-18T00:00:00"/>
    <x v="0"/>
    <x v="2"/>
    <s v="Customer_26"/>
    <x v="1"/>
    <x v="8"/>
    <n v="3"/>
    <n v="121.71"/>
    <n v="0.15"/>
    <n v="310.36"/>
    <x v="0"/>
    <x v="1"/>
    <n v="310.3605"/>
    <n v="2026"/>
    <x v="1"/>
    <x v="0"/>
    <n v="77.59"/>
    <n v="55.8648"/>
    <n v="254.4952"/>
    <s v="Low"/>
    <m/>
  </r>
  <r>
    <n v="1227"/>
    <d v="2026-02-19T00:00:00"/>
    <x v="0"/>
    <x v="1"/>
    <s v="Customer_59"/>
    <x v="0"/>
    <x v="0"/>
    <n v="10"/>
    <n v="236.9"/>
    <n v="0"/>
    <n v="2369"/>
    <x v="2"/>
    <x v="0"/>
    <n v="2369"/>
    <n v="2026"/>
    <x v="1"/>
    <x v="0"/>
    <n v="592.25"/>
    <n v="426.42"/>
    <n v="1942.58"/>
    <s v="Low"/>
    <m/>
  </r>
  <r>
    <n v="1166"/>
    <d v="2026-02-21T00:00:00"/>
    <x v="1"/>
    <x v="4"/>
    <s v="Customer_46"/>
    <x v="1"/>
    <x v="8"/>
    <n v="4"/>
    <n v="357.46"/>
    <n v="0"/>
    <n v="1429.84"/>
    <x v="2"/>
    <x v="0"/>
    <n v="1429.84"/>
    <n v="2026"/>
    <x v="1"/>
    <x v="0"/>
    <n v="357.46"/>
    <n v="257.3712"/>
    <n v="1172.4688"/>
    <s v="Low"/>
    <m/>
  </r>
  <r>
    <n v="1084"/>
    <d v="2026-02-22T00:00:00"/>
    <x v="2"/>
    <x v="2"/>
    <s v="Customer_32"/>
    <x v="0"/>
    <x v="2"/>
    <n v="4"/>
    <n v="1025.3"/>
    <n v="0"/>
    <n v="4101.2"/>
    <x v="2"/>
    <x v="2"/>
    <n v="4101.2"/>
    <n v="2026"/>
    <x v="1"/>
    <x v="0"/>
    <n v="1025.3"/>
    <n v="738.2159999999999"/>
    <n v="3362.984"/>
    <s v="Low"/>
    <m/>
  </r>
  <r>
    <n v="1126"/>
    <d v="2026-02-22T00:00:00"/>
    <x v="0"/>
    <x v="0"/>
    <s v="Customer_39"/>
    <x v="2"/>
    <x v="6"/>
    <n v="4"/>
    <n v="586.72"/>
    <n v="0.15"/>
    <n v="1994.85"/>
    <x v="0"/>
    <x v="1"/>
    <n v="1994.848"/>
    <n v="2026"/>
    <x v="1"/>
    <x v="0"/>
    <n v="498.7125"/>
    <n v="359.073"/>
    <n v="1635.777"/>
    <s v="Low"/>
    <m/>
  </r>
  <r>
    <n v="1014"/>
    <d v="2026-02-27T00:00:00"/>
    <x v="2"/>
    <x v="0"/>
    <s v="Customer_39"/>
    <x v="1"/>
    <x v="8"/>
    <n v="15"/>
    <n v="543.0700000000001"/>
    <n v="0"/>
    <n v="8146.05"/>
    <x v="2"/>
    <x v="0"/>
    <n v="8146.050000000001"/>
    <n v="2026"/>
    <x v="1"/>
    <x v="0"/>
    <n v="2036.5125"/>
    <n v="1466.289"/>
    <n v="6679.761"/>
    <s v="Medium"/>
    <m/>
  </r>
  <r>
    <n v="1087"/>
    <d v="2026-02-28T00:00:00"/>
    <x v="0"/>
    <x v="4"/>
    <s v="Customer_1"/>
    <x v="1"/>
    <x v="8"/>
    <n v="4"/>
    <n v="611.7"/>
    <n v="0.1"/>
    <n v="2202.12"/>
    <x v="2"/>
    <x v="2"/>
    <n v="2202.12"/>
    <n v="2026"/>
    <x v="1"/>
    <x v="0"/>
    <n v="550.53"/>
    <n v="396.3816"/>
    <n v="1805.7384"/>
    <s v="Low"/>
    <m/>
  </r>
  <r>
    <n v="1092"/>
    <d v="2026-03-02T00:00:00"/>
    <x v="0"/>
    <x v="0"/>
    <s v="Customer_18"/>
    <x v="0"/>
    <x v="0"/>
    <n v="14"/>
    <n v="1177.07"/>
    <n v="0.1"/>
    <n v="14831.08"/>
    <x v="0"/>
    <x v="1"/>
    <n v="14831.082"/>
    <n v="2026"/>
    <x v="2"/>
    <x v="0"/>
    <n v="3707.77"/>
    <n v="2669.5944"/>
    <n v="12161.4856"/>
    <s v="High"/>
    <m/>
  </r>
  <r>
    <n v="1217"/>
    <d v="2026-03-02T00:00:00"/>
    <x v="2"/>
    <x v="3"/>
    <s v="Customer_48"/>
    <x v="0"/>
    <x v="2"/>
    <n v="2"/>
    <n v="561.78"/>
    <n v="0"/>
    <n v="1123.56"/>
    <x v="1"/>
    <x v="0"/>
    <n v="1123.56"/>
    <n v="2026"/>
    <x v="2"/>
    <x v="0"/>
    <n v="280.89"/>
    <n v="202.2408"/>
    <n v="921.3191999999999"/>
    <s v="Low"/>
    <m/>
  </r>
  <r>
    <n v="1226"/>
    <d v="2026-03-02T00:00:00"/>
    <x v="1"/>
    <x v="1"/>
    <s v="Customer_58"/>
    <x v="1"/>
    <x v="4"/>
    <n v="7"/>
    <n v="408.56"/>
    <n v="0.15"/>
    <n v="2430.93"/>
    <x v="1"/>
    <x v="1"/>
    <n v="2430.932"/>
    <n v="2026"/>
    <x v="2"/>
    <x v="0"/>
    <n v="607.7325"/>
    <n v="437.5674"/>
    <n v="1993.3626"/>
    <s v="Low"/>
    <m/>
  </r>
  <r>
    <n v="1239"/>
    <d v="2026-03-09T00:00:00"/>
    <x v="0"/>
    <x v="1"/>
    <s v="Customer_7"/>
    <x v="2"/>
    <x v="6"/>
    <n v="6"/>
    <n v="751.3"/>
    <n v="0.05"/>
    <n v="4282.41"/>
    <x v="2"/>
    <x v="1"/>
    <n v="4282.409999999999"/>
    <n v="2026"/>
    <x v="2"/>
    <x v="0"/>
    <n v="1070.6025"/>
    <n v="770.8338"/>
    <n v="3511.5762"/>
    <s v="Low"/>
    <m/>
  </r>
  <r>
    <n v="1297"/>
    <d v="2026-03-09T00:00:00"/>
    <x v="2"/>
    <x v="5"/>
    <s v="Customer_11"/>
    <x v="2"/>
    <x v="3"/>
    <n v="5"/>
    <n v="917.0700000000001"/>
    <n v="0.05"/>
    <n v="4356.08"/>
    <x v="2"/>
    <x v="0"/>
    <n v="4356.0825"/>
    <n v="2026"/>
    <x v="2"/>
    <x v="0"/>
    <n v="1089.02"/>
    <n v="784.0944"/>
    <n v="3571.9856"/>
    <s v="Low"/>
    <m/>
  </r>
  <r>
    <n v="1081"/>
    <d v="2026-03-13T00:00:00"/>
    <x v="1"/>
    <x v="1"/>
    <s v="Customer_65"/>
    <x v="2"/>
    <x v="3"/>
    <n v="13"/>
    <n v="775.95"/>
    <n v="0"/>
    <n v="10087.35"/>
    <x v="1"/>
    <x v="1"/>
    <n v="10087.35"/>
    <n v="2026"/>
    <x v="2"/>
    <x v="0"/>
    <n v="2521.8375"/>
    <n v="1815.723"/>
    <n v="8271.627"/>
    <s v="High"/>
    <m/>
  </r>
  <r>
    <n v="1258"/>
    <d v="2026-03-13T00:00:00"/>
    <x v="3"/>
    <x v="2"/>
    <s v="Customer_58"/>
    <x v="2"/>
    <x v="7"/>
    <n v="2"/>
    <n v="42.23"/>
    <n v="0"/>
    <n v="84.45999999999999"/>
    <x v="2"/>
    <x v="2"/>
    <n v="84.45999999999999"/>
    <n v="2026"/>
    <x v="2"/>
    <x v="0"/>
    <n v="21.115"/>
    <n v="15.2028"/>
    <n v="69.2572"/>
    <s v="Low"/>
    <m/>
  </r>
  <r>
    <n v="1268"/>
    <d v="2026-03-13T00:00:00"/>
    <x v="0"/>
    <x v="4"/>
    <s v="Customer_29"/>
    <x v="2"/>
    <x v="7"/>
    <n v="6"/>
    <n v="76.27"/>
    <n v="0.1"/>
    <n v="411.86"/>
    <x v="2"/>
    <x v="2"/>
    <n v="411.858"/>
    <n v="2026"/>
    <x v="2"/>
    <x v="0"/>
    <n v="102.965"/>
    <n v="74.1348"/>
    <n v="337.7252"/>
    <s v="Low"/>
    <m/>
  </r>
  <r>
    <n v="1256"/>
    <d v="2026-03-14T00:00:00"/>
    <x v="0"/>
    <x v="1"/>
    <s v="Customer_34"/>
    <x v="0"/>
    <x v="0"/>
    <n v="9"/>
    <n v="489.98"/>
    <n v="0"/>
    <n v="4409.82"/>
    <x v="2"/>
    <x v="0"/>
    <n v="4409.82"/>
    <n v="2026"/>
    <x v="2"/>
    <x v="0"/>
    <n v="1102.455"/>
    <n v="793.7675999999999"/>
    <n v="3616.0524"/>
    <s v="Low"/>
    <m/>
  </r>
  <r>
    <n v="1034"/>
    <d v="2026-03-16T00:00:00"/>
    <x v="3"/>
    <x v="1"/>
    <s v="Customer_53"/>
    <x v="2"/>
    <x v="3"/>
    <n v="9"/>
    <n v="583.97"/>
    <n v="0.1"/>
    <n v="4730.16"/>
    <x v="0"/>
    <x v="0"/>
    <n v="4730.157"/>
    <n v="2026"/>
    <x v="2"/>
    <x v="0"/>
    <n v="1182.54"/>
    <n v="851.4287999999999"/>
    <n v="3878.7312"/>
    <s v="Low"/>
    <m/>
  </r>
  <r>
    <n v="1125"/>
    <d v="2026-03-17T00:00:00"/>
    <x v="2"/>
    <x v="4"/>
    <s v="Customer_56"/>
    <x v="0"/>
    <x v="0"/>
    <n v="7"/>
    <n v="989.45"/>
    <n v="0"/>
    <n v="6926.15"/>
    <x v="1"/>
    <x v="1"/>
    <n v="6926.150000000001"/>
    <n v="2026"/>
    <x v="2"/>
    <x v="0"/>
    <n v="1731.5375"/>
    <n v="1246.707"/>
    <n v="5679.442999999999"/>
    <s v="Medium"/>
    <m/>
  </r>
  <r>
    <n v="1293"/>
    <d v="2026-03-18T00:00:00"/>
    <x v="0"/>
    <x v="3"/>
    <s v="Customer_68"/>
    <x v="2"/>
    <x v="6"/>
    <n v="3"/>
    <n v="870.87"/>
    <n v="0.1"/>
    <n v="2351.35"/>
    <x v="2"/>
    <x v="1"/>
    <n v="2351.349"/>
    <n v="2026"/>
    <x v="2"/>
    <x v="0"/>
    <n v="587.8375"/>
    <n v="423.243"/>
    <n v="1928.107"/>
    <s v="Low"/>
    <m/>
  </r>
  <r>
    <n v="1259"/>
    <d v="2026-03-19T00:00:00"/>
    <x v="1"/>
    <x v="5"/>
    <s v="Customer_45"/>
    <x v="1"/>
    <x v="1"/>
    <n v="13"/>
    <n v="407.84"/>
    <n v="0.05"/>
    <n v="5036.82"/>
    <x v="2"/>
    <x v="1"/>
    <n v="5036.824"/>
    <n v="2026"/>
    <x v="2"/>
    <x v="0"/>
    <n v="1259.205"/>
    <n v="906.6275999999999"/>
    <n v="4130.1924"/>
    <s v="Medium"/>
    <m/>
  </r>
  <r>
    <n v="1008"/>
    <d v="2026-03-22T00:00:00"/>
    <x v="1"/>
    <x v="5"/>
    <s v="Customer_21"/>
    <x v="0"/>
    <x v="0"/>
    <n v="9"/>
    <n v="1074.54"/>
    <n v="0"/>
    <n v="9670.860000000001"/>
    <x v="0"/>
    <x v="2"/>
    <n v="9670.860000000001"/>
    <n v="2026"/>
    <x v="2"/>
    <x v="0"/>
    <n v="2417.715"/>
    <n v="1740.7548"/>
    <n v="7930.105200000001"/>
    <s v="Medium"/>
    <m/>
  </r>
  <r>
    <n v="1277"/>
    <d v="2026-03-22T00:00:00"/>
    <x v="0"/>
    <x v="3"/>
    <s v="Customer_8"/>
    <x v="2"/>
    <x v="7"/>
    <n v="5"/>
    <n v="136.04"/>
    <n v="0.15"/>
    <n v="578.17"/>
    <x v="0"/>
    <x v="1"/>
    <n v="578.17"/>
    <n v="2026"/>
    <x v="2"/>
    <x v="0"/>
    <n v="144.5425"/>
    <n v="104.0706"/>
    <n v="474.0993999999999"/>
    <s v="Low"/>
    <m/>
  </r>
  <r>
    <n v="1006"/>
    <d v="2026-03-23T00:00:00"/>
    <x v="1"/>
    <x v="2"/>
    <s v="Customer_53"/>
    <x v="0"/>
    <x v="2"/>
    <n v="8"/>
    <n v="547.41"/>
    <n v="0.15"/>
    <n v="3722.39"/>
    <x v="0"/>
    <x v="1"/>
    <n v="3722.387999999999"/>
    <n v="2026"/>
    <x v="2"/>
    <x v="0"/>
    <n v="930.5975"/>
    <n v="670.0301999999999"/>
    <n v="3052.3598"/>
    <s v="Low"/>
    <m/>
  </r>
  <r>
    <n v="1112"/>
    <d v="2026-03-28T00:00:00"/>
    <x v="3"/>
    <x v="5"/>
    <s v="Customer_44"/>
    <x v="1"/>
    <x v="1"/>
    <n v="15"/>
    <n v="486.43"/>
    <n v="0.1"/>
    <n v="6566.81"/>
    <x v="1"/>
    <x v="1"/>
    <n v="6566.805"/>
    <n v="2026"/>
    <x v="2"/>
    <x v="0"/>
    <n v="1641.7025"/>
    <n v="1182.0258"/>
    <n v="5384.7842"/>
    <s v="Medium"/>
    <m/>
  </r>
  <r>
    <n v="1182"/>
    <d v="2026-03-30T00:00:00"/>
    <x v="3"/>
    <x v="1"/>
    <s v="Customer_60"/>
    <x v="2"/>
    <x v="3"/>
    <n v="1"/>
    <n v="679.37"/>
    <n v="0.05"/>
    <n v="645.4"/>
    <x v="1"/>
    <x v="0"/>
    <n v="645.4014999999999"/>
    <n v="2026"/>
    <x v="2"/>
    <x v="0"/>
    <n v="161.35"/>
    <n v="116.172"/>
    <n v="529.228"/>
    <s v="Low"/>
    <m/>
  </r>
  <r>
    <n v="1031"/>
    <d v="2026-04-02T00:00:00"/>
    <x v="2"/>
    <x v="5"/>
    <s v="Customer_3"/>
    <x v="1"/>
    <x v="4"/>
    <n v="15"/>
    <n v="1052.13"/>
    <n v="0.1"/>
    <n v="14203.76"/>
    <x v="1"/>
    <x v="0"/>
    <n v="14203.755"/>
    <n v="2026"/>
    <x v="3"/>
    <x v="1"/>
    <n v="3550.94"/>
    <n v="2556.6768"/>
    <n v="11647.0832"/>
    <s v="High"/>
    <m/>
  </r>
  <r>
    <n v="1110"/>
    <d v="2026-04-03T00:00:00"/>
    <x v="0"/>
    <x v="4"/>
    <s v="Customer_27"/>
    <x v="1"/>
    <x v="1"/>
    <n v="2"/>
    <n v="461.73"/>
    <n v="0.05"/>
    <n v="877.29"/>
    <x v="1"/>
    <x v="2"/>
    <n v="877.287"/>
    <n v="2026"/>
    <x v="3"/>
    <x v="1"/>
    <n v="219.3225"/>
    <n v="157.9122"/>
    <n v="719.3778"/>
    <s v="Low"/>
    <m/>
  </r>
  <r>
    <n v="1247"/>
    <d v="2026-04-05T00:00:00"/>
    <x v="1"/>
    <x v="0"/>
    <s v="Customer_25"/>
    <x v="2"/>
    <x v="6"/>
    <n v="9"/>
    <n v="567.6"/>
    <n v="0.1"/>
    <n v="4597.56"/>
    <x v="0"/>
    <x v="0"/>
    <n v="4597.56"/>
    <n v="2026"/>
    <x v="3"/>
    <x v="1"/>
    <n v="1149.39"/>
    <n v="827.5608000000001"/>
    <n v="3769.9992"/>
    <s v="Low"/>
    <m/>
  </r>
  <r>
    <n v="1053"/>
    <d v="2026-04-10T00:00:00"/>
    <x v="0"/>
    <x v="5"/>
    <s v="Customer_28"/>
    <x v="0"/>
    <x v="5"/>
    <n v="6"/>
    <n v="484.51"/>
    <n v="0.05"/>
    <n v="2761.71"/>
    <x v="1"/>
    <x v="2"/>
    <n v="2761.707"/>
    <n v="2026"/>
    <x v="3"/>
    <x v="1"/>
    <n v="690.4275"/>
    <n v="497.1078"/>
    <n v="2264.6022"/>
    <s v="Low"/>
    <m/>
  </r>
  <r>
    <n v="1055"/>
    <d v="2026-04-14T00:00:00"/>
    <x v="3"/>
    <x v="3"/>
    <s v="Customer_29"/>
    <x v="0"/>
    <x v="2"/>
    <n v="15"/>
    <n v="684.91"/>
    <n v="0.05"/>
    <n v="9759.969999999999"/>
    <x v="0"/>
    <x v="1"/>
    <n v="9759.967499999999"/>
    <n v="2026"/>
    <x v="3"/>
    <x v="1"/>
    <n v="2439.9925"/>
    <n v="1756.7946"/>
    <n v="8003.1754"/>
    <s v="Medium"/>
    <m/>
  </r>
  <r>
    <n v="1158"/>
    <d v="2026-04-19T00:00:00"/>
    <x v="3"/>
    <x v="3"/>
    <s v="Customer_23"/>
    <x v="1"/>
    <x v="8"/>
    <n v="14"/>
    <n v="898.66"/>
    <n v="0.1"/>
    <n v="11323.12"/>
    <x v="1"/>
    <x v="2"/>
    <n v="11323.116"/>
    <n v="2026"/>
    <x v="3"/>
    <x v="1"/>
    <n v="2830.78"/>
    <n v="2038.1616"/>
    <n v="9284.958400000001"/>
    <s v="High"/>
    <m/>
  </r>
  <r>
    <n v="1181"/>
    <d v="2026-04-19T00:00:00"/>
    <x v="3"/>
    <x v="4"/>
    <s v="Customer_8"/>
    <x v="0"/>
    <x v="5"/>
    <n v="14"/>
    <n v="674.16"/>
    <n v="0.1"/>
    <n v="8494.42"/>
    <x v="1"/>
    <x v="1"/>
    <n v="8494.415999999999"/>
    <n v="2026"/>
    <x v="3"/>
    <x v="1"/>
    <n v="2123.605"/>
    <n v="1528.9956"/>
    <n v="6965.4244"/>
    <s v="Medium"/>
    <m/>
  </r>
  <r>
    <n v="1144"/>
    <d v="2026-04-20T00:00:00"/>
    <x v="1"/>
    <x v="1"/>
    <s v="Customer_69"/>
    <x v="1"/>
    <x v="8"/>
    <n v="4"/>
    <n v="162.99"/>
    <n v="0"/>
    <n v="651.96"/>
    <x v="0"/>
    <x v="2"/>
    <n v="651.96"/>
    <n v="2026"/>
    <x v="3"/>
    <x v="1"/>
    <n v="162.99"/>
    <n v="117.3528"/>
    <n v="534.6072"/>
    <s v="Low"/>
    <m/>
  </r>
  <r>
    <n v="1204"/>
    <d v="2026-04-21T00:00:00"/>
    <x v="0"/>
    <x v="4"/>
    <s v="Customer_11"/>
    <x v="1"/>
    <x v="4"/>
    <n v="6"/>
    <n v="582.33"/>
    <n v="0.05"/>
    <n v="3319.28"/>
    <x v="2"/>
    <x v="2"/>
    <n v="3319.281"/>
    <n v="2026"/>
    <x v="3"/>
    <x v="1"/>
    <n v="829.8200000000001"/>
    <n v="597.4704"/>
    <n v="2721.8096"/>
    <s v="Low"/>
    <m/>
  </r>
  <r>
    <n v="1074"/>
    <d v="2026-04-29T00:00:00"/>
    <x v="1"/>
    <x v="3"/>
    <s v="Customer_73"/>
    <x v="1"/>
    <x v="4"/>
    <n v="3"/>
    <n v="209.76"/>
    <n v="0.1"/>
    <n v="566.35"/>
    <x v="2"/>
    <x v="1"/>
    <n v="566.352"/>
    <n v="2026"/>
    <x v="3"/>
    <x v="1"/>
    <n v="141.5875"/>
    <n v="101.943"/>
    <n v="464.407"/>
    <s v="Low"/>
    <m/>
  </r>
  <r>
    <n v="1029"/>
    <d v="2026-05-02T00:00:00"/>
    <x v="2"/>
    <x v="3"/>
    <s v="Customer_50"/>
    <x v="2"/>
    <x v="3"/>
    <m/>
    <n v="213.59"/>
    <n v="0"/>
    <n v="1067.95"/>
    <x v="0"/>
    <x v="2"/>
    <n v="0"/>
    <n v="2026"/>
    <x v="4"/>
    <x v="1"/>
    <n v="266.9875"/>
    <n v="192.231"/>
    <n v="875.7190000000001"/>
    <s v="Low"/>
    <m/>
  </r>
  <r>
    <n v="1035"/>
    <d v="2026-05-02T00:00:00"/>
    <x v="3"/>
    <x v="3"/>
    <s v="Customer_18"/>
    <x v="0"/>
    <x v="2"/>
    <n v="5"/>
    <n v="740.88"/>
    <n v="0.1"/>
    <n v="3333.96"/>
    <x v="2"/>
    <x v="1"/>
    <n v="3333.96"/>
    <n v="2026"/>
    <x v="4"/>
    <x v="1"/>
    <n v="833.49"/>
    <n v="600.1128"/>
    <n v="2733.8472"/>
    <s v="Low"/>
    <m/>
  </r>
  <r>
    <n v="1043"/>
    <d v="2026-05-03T00:00:00"/>
    <x v="0"/>
    <x v="3"/>
    <s v="Customer_38"/>
    <x v="1"/>
    <x v="8"/>
    <n v="2"/>
    <n v="597.08"/>
    <n v="0.15"/>
    <n v="1015.04"/>
    <x v="1"/>
    <x v="2"/>
    <n v="1015.036"/>
    <n v="2026"/>
    <x v="4"/>
    <x v="1"/>
    <n v="253.76"/>
    <n v="182.7072"/>
    <n v="832.3327999999999"/>
    <s v="Low"/>
    <m/>
  </r>
  <r>
    <n v="1261"/>
    <d v="2026-05-03T00:00:00"/>
    <x v="0"/>
    <x v="4"/>
    <s v="Customer_27"/>
    <x v="0"/>
    <x v="0"/>
    <n v="1"/>
    <n v="993.21"/>
    <n v="0.1"/>
    <n v="893.89"/>
    <x v="0"/>
    <x v="2"/>
    <n v="893.889"/>
    <n v="2026"/>
    <x v="4"/>
    <x v="1"/>
    <n v="223.4725"/>
    <n v="160.9002"/>
    <n v="732.9898000000001"/>
    <s v="Low"/>
    <m/>
  </r>
  <r>
    <n v="1001"/>
    <d v="2026-05-04T00:00:00"/>
    <x v="1"/>
    <x v="0"/>
    <s v="Customer_43"/>
    <x v="0"/>
    <x v="2"/>
    <n v="4"/>
    <n v="424.95"/>
    <n v="0.1"/>
    <n v="1529.82"/>
    <x v="1"/>
    <x v="1"/>
    <n v="1529.82"/>
    <n v="2026"/>
    <x v="4"/>
    <x v="1"/>
    <n v="382.455"/>
    <n v="275.3676"/>
    <n v="1254.4524"/>
    <s v="Low"/>
    <m/>
  </r>
  <r>
    <n v="1244"/>
    <d v="2026-05-04T00:00:00"/>
    <x v="0"/>
    <x v="3"/>
    <s v="Customer_4"/>
    <x v="1"/>
    <x v="1"/>
    <n v="8"/>
    <n v="790.5700000000001"/>
    <n v="0"/>
    <n v="6324.56"/>
    <x v="2"/>
    <x v="1"/>
    <n v="6324.56"/>
    <n v="2026"/>
    <x v="4"/>
    <x v="1"/>
    <n v="1581.14"/>
    <n v="1138.4208"/>
    <n v="5186.139200000001"/>
    <s v="Medium"/>
    <m/>
  </r>
  <r>
    <n v="1230"/>
    <d v="2026-05-07T00:00:00"/>
    <x v="1"/>
    <x v="3"/>
    <s v="Customer_33"/>
    <x v="2"/>
    <x v="6"/>
    <n v="12"/>
    <n v="897.6"/>
    <n v="0"/>
    <n v="10771.2"/>
    <x v="0"/>
    <x v="2"/>
    <n v="10771.2"/>
    <n v="2026"/>
    <x v="4"/>
    <x v="1"/>
    <n v="2692.8"/>
    <n v="1938.816"/>
    <n v="8832.384"/>
    <s v="High"/>
    <m/>
  </r>
  <r>
    <n v="1290"/>
    <d v="2026-05-08T00:00:00"/>
    <x v="2"/>
    <x v="1"/>
    <s v="Customer_58"/>
    <x v="0"/>
    <x v="2"/>
    <n v="1"/>
    <n v="759.55"/>
    <n v="0.05"/>
    <n v="721.5700000000001"/>
    <x v="1"/>
    <x v="0"/>
    <n v="721.5724999999999"/>
    <n v="2026"/>
    <x v="4"/>
    <x v="1"/>
    <n v="180.3925"/>
    <n v="129.8826"/>
    <n v="591.6874"/>
    <s v="Low"/>
    <m/>
  </r>
  <r>
    <n v="1186"/>
    <d v="2026-05-13T00:00:00"/>
    <x v="2"/>
    <x v="0"/>
    <s v="Customer_31"/>
    <x v="2"/>
    <x v="7"/>
    <n v="6"/>
    <n v="360.82"/>
    <n v="0.15"/>
    <n v="1840.18"/>
    <x v="2"/>
    <x v="0"/>
    <n v="1840.182"/>
    <n v="2026"/>
    <x v="4"/>
    <x v="1"/>
    <n v="460.045"/>
    <n v="331.2324"/>
    <n v="1508.9476"/>
    <s v="Low"/>
    <m/>
  </r>
  <r>
    <n v="1141"/>
    <d v="2026-05-14T00:00:00"/>
    <x v="3"/>
    <x v="3"/>
    <s v="Customer_76"/>
    <x v="1"/>
    <x v="8"/>
    <n v="2"/>
    <n v="1069"/>
    <n v="0.1"/>
    <n v="1924.2"/>
    <x v="2"/>
    <x v="1"/>
    <n v="1924.2"/>
    <n v="2026"/>
    <x v="4"/>
    <x v="1"/>
    <n v="481.05"/>
    <n v="346.356"/>
    <n v="1577.844"/>
    <s v="Low"/>
    <m/>
  </r>
  <r>
    <n v="1194"/>
    <d v="2026-05-16T00:00:00"/>
    <x v="2"/>
    <x v="0"/>
    <s v="Customer_23"/>
    <x v="2"/>
    <x v="7"/>
    <n v="6"/>
    <n v="1041.3"/>
    <n v="0.15"/>
    <n v="5310.63"/>
    <x v="0"/>
    <x v="2"/>
    <n v="5310.629999999999"/>
    <n v="2026"/>
    <x v="4"/>
    <x v="1"/>
    <n v="1327.6575"/>
    <n v="955.9134"/>
    <n v="4354.7166"/>
    <s v="Medium"/>
    <m/>
  </r>
  <r>
    <n v="1004"/>
    <d v="2026-05-17T00:00:00"/>
    <x v="0"/>
    <x v="1"/>
    <s v="Customer_36"/>
    <x v="0"/>
    <x v="5"/>
    <n v="15"/>
    <n v="874.8"/>
    <n v="0.1"/>
    <n v="11809.8"/>
    <x v="1"/>
    <x v="1"/>
    <n v="11809.8"/>
    <n v="2026"/>
    <x v="4"/>
    <x v="1"/>
    <n v="2952.45"/>
    <n v="2125.764"/>
    <n v="9684.036"/>
    <s v="High"/>
    <m/>
  </r>
  <r>
    <n v="1167"/>
    <d v="2026-05-18T00:00:00"/>
    <x v="3"/>
    <x v="0"/>
    <s v="Customer_59"/>
    <x v="0"/>
    <x v="2"/>
    <n v="8"/>
    <n v="946.0700000000001"/>
    <n v="0"/>
    <n v="7568.56"/>
    <x v="2"/>
    <x v="2"/>
    <n v="7568.56"/>
    <n v="2026"/>
    <x v="4"/>
    <x v="1"/>
    <n v="1892.14"/>
    <n v="1362.3408"/>
    <n v="6206.2192"/>
    <s v="Medium"/>
    <m/>
  </r>
  <r>
    <n v="1208"/>
    <d v="2026-05-18T00:00:00"/>
    <x v="2"/>
    <x v="5"/>
    <s v="Customer_27"/>
    <x v="0"/>
    <x v="5"/>
    <n v="7"/>
    <n v="1027.21"/>
    <n v="0.1"/>
    <n v="6471.42"/>
    <x v="2"/>
    <x v="1"/>
    <n v="6471.423000000001"/>
    <n v="2026"/>
    <x v="4"/>
    <x v="1"/>
    <n v="1617.855"/>
    <n v="1164.8556"/>
    <n v="5306.5644"/>
    <s v="Medium"/>
    <m/>
  </r>
  <r>
    <n v="1123"/>
    <d v="2026-05-21T00:00:00"/>
    <x v="1"/>
    <x v="2"/>
    <s v="Customer_50"/>
    <x v="2"/>
    <x v="7"/>
    <n v="2"/>
    <n v="1075.27"/>
    <n v="0"/>
    <n v="2150.54"/>
    <x v="0"/>
    <x v="2"/>
    <n v="2150.54"/>
    <n v="2026"/>
    <x v="4"/>
    <x v="1"/>
    <n v="537.635"/>
    <n v="387.0972"/>
    <n v="1763.4428"/>
    <s v="Low"/>
    <m/>
  </r>
  <r>
    <n v="1137"/>
    <d v="2026-05-21T00:00:00"/>
    <x v="3"/>
    <x v="5"/>
    <s v="Customer_6"/>
    <x v="1"/>
    <x v="1"/>
    <n v="2"/>
    <n v="249.82"/>
    <n v="0.15"/>
    <n v="424.69"/>
    <x v="0"/>
    <x v="2"/>
    <n v="424.694"/>
    <n v="2026"/>
    <x v="4"/>
    <x v="1"/>
    <n v="106.1725"/>
    <n v="76.4442"/>
    <n v="348.2458"/>
    <s v="Low"/>
    <m/>
  </r>
  <r>
    <n v="1184"/>
    <d v="2026-05-25T00:00:00"/>
    <x v="2"/>
    <x v="4"/>
    <s v="Customer_49"/>
    <x v="2"/>
    <x v="3"/>
    <n v="1"/>
    <n v="1164.61"/>
    <n v="0.05"/>
    <n v="1106.38"/>
    <x v="0"/>
    <x v="0"/>
    <n v="1106.3795"/>
    <n v="2026"/>
    <x v="4"/>
    <x v="1"/>
    <n v="276.595"/>
    <n v="199.1484"/>
    <n v="907.2316000000001"/>
    <s v="Low"/>
    <m/>
  </r>
  <r>
    <n v="1241"/>
    <d v="2026-05-25T00:00:00"/>
    <x v="3"/>
    <x v="3"/>
    <s v="Customer_68"/>
    <x v="0"/>
    <x v="0"/>
    <n v="8"/>
    <n v="1193.77"/>
    <n v="0.15"/>
    <n v="8117.64"/>
    <x v="1"/>
    <x v="0"/>
    <n v="8117.636"/>
    <n v="2026"/>
    <x v="4"/>
    <x v="1"/>
    <n v="2029.41"/>
    <n v="1461.1752"/>
    <n v="6656.464800000001"/>
    <s v="Medium"/>
    <m/>
  </r>
  <r>
    <n v="1195"/>
    <d v="2026-05-28T00:00:00"/>
    <x v="3"/>
    <x v="1"/>
    <s v="Customer_25"/>
    <x v="1"/>
    <x v="4"/>
    <n v="14"/>
    <n v="162.52"/>
    <n v="0.05"/>
    <n v="2161.52"/>
    <x v="0"/>
    <x v="1"/>
    <n v="2161.516"/>
    <n v="2026"/>
    <x v="4"/>
    <x v="1"/>
    <n v="540.38"/>
    <n v="389.0736"/>
    <n v="1772.4464"/>
    <s v="Low"/>
    <m/>
  </r>
  <r>
    <n v="1174"/>
    <d v="2026-05-29T00:00:00"/>
    <x v="0"/>
    <x v="4"/>
    <s v="Customer_4"/>
    <x v="1"/>
    <x v="8"/>
    <n v="1"/>
    <n v="1003.21"/>
    <n v="0"/>
    <n v="1003.21"/>
    <x v="2"/>
    <x v="2"/>
    <n v="1003.21"/>
    <n v="2026"/>
    <x v="4"/>
    <x v="1"/>
    <n v="250.8025"/>
    <n v="180.5778"/>
    <n v="822.6322"/>
    <s v="Low"/>
    <m/>
  </r>
  <r>
    <n v="1155"/>
    <d v="2026-05-30T00:00:00"/>
    <x v="3"/>
    <x v="3"/>
    <s v="Customer_31"/>
    <x v="2"/>
    <x v="6"/>
    <n v="6"/>
    <n v="1123.44"/>
    <n v="0"/>
    <n v="6740.64"/>
    <x v="1"/>
    <x v="2"/>
    <n v="6740.64"/>
    <n v="2026"/>
    <x v="4"/>
    <x v="1"/>
    <n v="1685.16"/>
    <n v="1213.3152"/>
    <n v="5527.3248"/>
    <s v="Medium"/>
    <m/>
  </r>
  <r>
    <n v="1190"/>
    <d v="2026-05-30T00:00:00"/>
    <x v="2"/>
    <x v="3"/>
    <s v="Customer_78"/>
    <x v="1"/>
    <x v="4"/>
    <n v="4"/>
    <n v="96.88"/>
    <n v="0.1"/>
    <n v="348.77"/>
    <x v="0"/>
    <x v="1"/>
    <n v="348.768"/>
    <n v="2026"/>
    <x v="4"/>
    <x v="1"/>
    <n v="87.1925"/>
    <n v="62.7786"/>
    <n v="285.9914"/>
    <s v="Low"/>
    <m/>
  </r>
  <r>
    <n v="1271"/>
    <d v="2026-05-30T00:00:00"/>
    <x v="1"/>
    <x v="5"/>
    <s v="Customer_17"/>
    <x v="0"/>
    <x v="2"/>
    <n v="15"/>
    <n v="883.6"/>
    <n v="0.05"/>
    <n v="12591.3"/>
    <x v="0"/>
    <x v="1"/>
    <n v="12591.3"/>
    <n v="2026"/>
    <x v="4"/>
    <x v="1"/>
    <n v="3147.825"/>
    <n v="2266.434"/>
    <n v="10324.866"/>
    <s v="High"/>
    <m/>
  </r>
  <r>
    <n v="1012"/>
    <d v="2026-06-02T00:00:00"/>
    <x v="0"/>
    <x v="2"/>
    <s v="Customer_1"/>
    <x v="2"/>
    <x v="6"/>
    <n v="7"/>
    <n v="767.22"/>
    <n v="0.05"/>
    <n v="5102.01"/>
    <x v="2"/>
    <x v="0"/>
    <n v="5102.013"/>
    <n v="2026"/>
    <x v="5"/>
    <x v="1"/>
    <n v="1275.5025"/>
    <n v="918.3618"/>
    <n v="4183.648200000001"/>
    <s v="Medium"/>
    <m/>
  </r>
  <r>
    <n v="1295"/>
    <d v="2026-06-05T00:00:00"/>
    <x v="2"/>
    <x v="1"/>
    <s v="Customer_54"/>
    <x v="1"/>
    <x v="4"/>
    <n v="3"/>
    <n v="174.72"/>
    <n v="0.15"/>
    <n v="445.54"/>
    <x v="0"/>
    <x v="1"/>
    <n v="445.5359999999999"/>
    <n v="2026"/>
    <x v="5"/>
    <x v="1"/>
    <n v="111.385"/>
    <n v="80.1972"/>
    <n v="365.3428"/>
    <s v="Low"/>
    <m/>
  </r>
  <r>
    <n v="1005"/>
    <d v="2026-06-07T00:00:00"/>
    <x v="1"/>
    <x v="2"/>
    <s v="Customer_48"/>
    <x v="2"/>
    <x v="7"/>
    <n v="8"/>
    <n v="510.37"/>
    <n v="0.05"/>
    <n v="3878.81"/>
    <x v="2"/>
    <x v="1"/>
    <n v="3878.812"/>
    <n v="2026"/>
    <x v="5"/>
    <x v="1"/>
    <n v="969.7025"/>
    <n v="698.1858"/>
    <n v="3180.6242"/>
    <s v="Low"/>
    <m/>
  </r>
  <r>
    <n v="1013"/>
    <d v="2026-06-08T00:00:00"/>
    <x v="3"/>
    <x v="0"/>
    <s v="Customer_4"/>
    <x v="2"/>
    <x v="6"/>
    <n v="14"/>
    <n v="434.94"/>
    <n v="0.15"/>
    <n v="5175.79"/>
    <x v="2"/>
    <x v="1"/>
    <n v="5175.786"/>
    <n v="2026"/>
    <x v="5"/>
    <x v="1"/>
    <n v="1293.9475"/>
    <n v="931.6422"/>
    <n v="4244.1478"/>
    <s v="Medium"/>
    <m/>
  </r>
  <r>
    <n v="1207"/>
    <d v="2026-06-08T00:00:00"/>
    <x v="0"/>
    <x v="2"/>
    <s v="Customer_32"/>
    <x v="2"/>
    <x v="3"/>
    <n v="13"/>
    <n v="395.19"/>
    <n v="0.15"/>
    <n v="4366.85"/>
    <x v="1"/>
    <x v="2"/>
    <n v="4366.8495"/>
    <n v="2026"/>
    <x v="5"/>
    <x v="1"/>
    <n v="1091.7125"/>
    <n v="786.033"/>
    <n v="3580.817"/>
    <s v="Low"/>
    <m/>
  </r>
  <r>
    <n v="1083"/>
    <d v="2026-06-14T00:00:00"/>
    <x v="2"/>
    <x v="0"/>
    <s v="Customer_7"/>
    <x v="1"/>
    <x v="1"/>
    <n v="10"/>
    <n v="40.25"/>
    <n v="0.15"/>
    <n v="342.12"/>
    <x v="1"/>
    <x v="0"/>
    <n v="342.125"/>
    <n v="2026"/>
    <x v="5"/>
    <x v="1"/>
    <n v="85.53"/>
    <n v="61.5816"/>
    <n v="280.5384"/>
    <s v="Low"/>
    <m/>
  </r>
  <r>
    <n v="1275"/>
    <d v="2026-06-14T00:00:00"/>
    <x v="1"/>
    <x v="3"/>
    <s v="Customer_34"/>
    <x v="0"/>
    <x v="2"/>
    <n v="5"/>
    <n v="406.32"/>
    <n v="0"/>
    <n v="2031.6"/>
    <x v="2"/>
    <x v="1"/>
    <n v="2031.6"/>
    <n v="2026"/>
    <x v="5"/>
    <x v="1"/>
    <n v="507.9"/>
    <n v="365.688"/>
    <n v="1665.912"/>
    <s v="Low"/>
    <m/>
  </r>
  <r>
    <n v="1042"/>
    <d v="2026-06-15T00:00:00"/>
    <x v="3"/>
    <x v="4"/>
    <s v="Customer_60"/>
    <x v="2"/>
    <x v="7"/>
    <n v="3"/>
    <n v="698.16"/>
    <n v="0"/>
    <n v="2094.48"/>
    <x v="1"/>
    <x v="2"/>
    <n v="2094.48"/>
    <n v="2026"/>
    <x v="5"/>
    <x v="1"/>
    <n v="523.62"/>
    <n v="377.0064"/>
    <n v="1717.4736"/>
    <s v="Low"/>
    <m/>
  </r>
  <r>
    <n v="1242"/>
    <d v="2026-06-15T00:00:00"/>
    <x v="0"/>
    <x v="1"/>
    <s v="Customer_50"/>
    <x v="0"/>
    <x v="0"/>
    <n v="2"/>
    <n v="288.26"/>
    <n v="0.15"/>
    <n v="490.04"/>
    <x v="0"/>
    <x v="2"/>
    <n v="490.042"/>
    <n v="2026"/>
    <x v="5"/>
    <x v="1"/>
    <n v="122.51"/>
    <n v="88.2072"/>
    <n v="401.8328"/>
    <s v="Low"/>
    <m/>
  </r>
  <r>
    <n v="1251"/>
    <d v="2026-06-17T00:00:00"/>
    <x v="3"/>
    <x v="5"/>
    <s v="Customer_25"/>
    <x v="2"/>
    <x v="3"/>
    <n v="1"/>
    <n v="901.45"/>
    <n v="0.1"/>
    <n v="811.3099999999999"/>
    <x v="1"/>
    <x v="2"/>
    <n v="811.3050000000001"/>
    <n v="2026"/>
    <x v="5"/>
    <x v="1"/>
    <n v="202.8275"/>
    <n v="146.0358"/>
    <n v="665.2742"/>
    <s v="Low"/>
    <m/>
  </r>
  <r>
    <n v="1135"/>
    <d v="2026-06-19T00:00:00"/>
    <x v="2"/>
    <x v="5"/>
    <s v="Customer_78"/>
    <x v="0"/>
    <x v="0"/>
    <n v="6"/>
    <n v="713.97"/>
    <n v="0.15"/>
    <n v="3641.25"/>
    <x v="0"/>
    <x v="0"/>
    <n v="3641.247"/>
    <n v="2026"/>
    <x v="5"/>
    <x v="1"/>
    <n v="910.3125"/>
    <n v="655.425"/>
    <n v="2985.825"/>
    <s v="Low"/>
    <m/>
  </r>
  <r>
    <n v="1187"/>
    <d v="2026-06-21T00:00:00"/>
    <x v="2"/>
    <x v="2"/>
    <s v="Customer_2"/>
    <x v="2"/>
    <x v="6"/>
    <n v="7"/>
    <n v="560.34"/>
    <n v="0.15"/>
    <n v="3334.02"/>
    <x v="0"/>
    <x v="0"/>
    <n v="3334.023"/>
    <n v="2026"/>
    <x v="5"/>
    <x v="1"/>
    <n v="833.505"/>
    <n v="600.1236"/>
    <n v="2733.8964"/>
    <s v="Low"/>
    <m/>
  </r>
  <r>
    <n v="1027"/>
    <d v="2026-06-22T00:00:00"/>
    <x v="3"/>
    <x v="4"/>
    <s v="Customer_48"/>
    <x v="1"/>
    <x v="4"/>
    <n v="15"/>
    <n v="962.28"/>
    <n v="0.1"/>
    <n v="12990.78"/>
    <x v="0"/>
    <x v="0"/>
    <n v="12990.78"/>
    <n v="2026"/>
    <x v="5"/>
    <x v="1"/>
    <n v="3247.695"/>
    <n v="2338.3404"/>
    <n v="10652.4396"/>
    <s v="High"/>
    <m/>
  </r>
  <r>
    <n v="1149"/>
    <d v="2026-06-22T00:00:00"/>
    <x v="1"/>
    <x v="2"/>
    <s v="Customer_64"/>
    <x v="0"/>
    <x v="5"/>
    <n v="10"/>
    <n v="1063.48"/>
    <n v="0.05"/>
    <n v="10103.06"/>
    <x v="1"/>
    <x v="1"/>
    <n v="10103.06"/>
    <n v="2026"/>
    <x v="5"/>
    <x v="1"/>
    <n v="2525.765"/>
    <n v="1818.5508"/>
    <n v="8284.5092"/>
    <s v="High"/>
    <m/>
  </r>
  <r>
    <n v="1106"/>
    <d v="2026-06-23T00:00:00"/>
    <x v="3"/>
    <x v="0"/>
    <s v="Customer_11"/>
    <x v="1"/>
    <x v="1"/>
    <n v="15"/>
    <n v="564.28"/>
    <n v="0"/>
    <n v="8464.200000000001"/>
    <x v="1"/>
    <x v="2"/>
    <n v="8464.199999999999"/>
    <n v="2026"/>
    <x v="5"/>
    <x v="1"/>
    <n v="2116.05"/>
    <n v="1523.556"/>
    <n v="6940.644"/>
    <s v="Medium"/>
    <m/>
  </r>
  <r>
    <n v="1151"/>
    <d v="2026-06-24T00:00:00"/>
    <x v="2"/>
    <x v="3"/>
    <s v="Customer_59"/>
    <x v="0"/>
    <x v="5"/>
    <n v="3"/>
    <n v="411.34"/>
    <n v="0"/>
    <n v="1234.02"/>
    <x v="0"/>
    <x v="1"/>
    <n v="1234.02"/>
    <n v="2026"/>
    <x v="5"/>
    <x v="1"/>
    <n v="308.505"/>
    <n v="222.1236"/>
    <n v="1011.8964"/>
    <s v="Low"/>
    <m/>
  </r>
  <r>
    <n v="1049"/>
    <d v="2026-06-25T00:00:00"/>
    <x v="0"/>
    <x v="2"/>
    <s v="Customer_6"/>
    <x v="1"/>
    <x v="8"/>
    <n v="6"/>
    <n v="447.58"/>
    <n v="0.15"/>
    <n v="2282.66"/>
    <x v="0"/>
    <x v="2"/>
    <n v="2282.658"/>
    <n v="2026"/>
    <x v="5"/>
    <x v="1"/>
    <n v="570.665"/>
    <n v="410.8788"/>
    <n v="1871.7812"/>
    <s v="Low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9000000}" name="PivotTable15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Region">
  <location ref="K22:L27" firstHeaderRow="1" firstDataRow="1" firstDataCol="1"/>
  <pivotFields count="22">
    <pivotField showAll="0"/>
    <pivotField numFmtId="14" showAll="0"/>
    <pivotField axis="axisRow"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dataField="1" showAll="0"/>
    <pivotField numFmtId="164" showAll="0"/>
    <pivotField showAll="0"/>
    <pivotField showAll="0"/>
    <pivotField showAll="0"/>
    <pivotField numFmtId="164" showAll="0"/>
    <pivotField numFmtId="164" showAll="0"/>
    <pivotField numFmtId="164" showAll="0"/>
    <pivotField showAll="0"/>
    <pivotField showAll="0"/>
  </pivotFields>
  <rowFields count="1">
    <field x="2"/>
  </rowFields>
  <rowItems count="5">
    <i>
      <x v="2"/>
    </i>
    <i>
      <x v="1"/>
    </i>
    <i>
      <x/>
    </i>
    <i>
      <x v="3"/>
    </i>
    <i t="grand">
      <x/>
    </i>
  </rowItems>
  <colItems count="1">
    <i/>
  </colItems>
  <dataFields count="1">
    <dataField name="Returned orders" fld="12" subtotal="count" baseField="0" baseItem="0"/>
  </dataFields>
  <pivotTableStyleInfo name="PivotStyleLight17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1000000}" name="PivotTable2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6" rowHeaderCaption="Region">
  <location ref="A3:B8" firstHeaderRow="1" firstDataRow="1" firstDataCol="1"/>
  <pivotFields count="22">
    <pivotField showAll="0"/>
    <pivotField numFmtId="14" showAll="0"/>
    <pivotField axis="axisRow"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numFmtId="164" showAll="0"/>
    <pivotField showAll="0"/>
    <pivotField showAll="0"/>
    <pivotField showAll="0"/>
    <pivotField numFmtId="164" showAll="0"/>
    <pivotField numFmtId="164" showAll="0"/>
    <pivotField dataField="1" numFmtId="164" showAll="0"/>
    <pivotField showAll="0"/>
    <pivotField showAll="0"/>
  </pivotFields>
  <rowFields count="1">
    <field x="2"/>
  </rowFields>
  <rowItems count="5">
    <i>
      <x v="1"/>
    </i>
    <i>
      <x v="3"/>
    </i>
    <i>
      <x v="2"/>
    </i>
    <i>
      <x/>
    </i>
    <i t="grand">
      <x/>
    </i>
  </rowItems>
  <colItems count="1">
    <i/>
  </colItems>
  <dataFields count="1">
    <dataField name="Sum of NET Revenue" fld="19" baseField="2" baseItem="1" numFmtId="166"/>
  </dataFields>
  <formats count="2">
    <format dxfId="12">
      <pivotArea field="2" type="button" dataOnly="0" labelOnly="1" outline="0" axis="axisRow" fieldPosition="0"/>
    </format>
    <format dxfId="11">
      <pivotArea dataOnly="0" labelOnly="1" outline="0" axis="axisValues" fieldPosition="0"/>
    </format>
  </formats>
  <pivotTableStyleInfo name="PivotStyleLight18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5000000}" name="PivotTable10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Product">
  <location ref="A21:B31" firstHeaderRow="1" firstDataRow="1" firstDataCol="1"/>
  <pivotFields count="22">
    <pivotField showAll="0"/>
    <pivotField numFmtId="14" showAll="0"/>
    <pivotField showAll="0"/>
    <pivotField showAll="0"/>
    <pivotField showAll="0"/>
    <pivotField showAll="0"/>
    <pivotField axis="axisRow" showAll="0" sortType="descending">
      <items count="10">
        <item x="3"/>
        <item x="4"/>
        <item x="1"/>
        <item x="5"/>
        <item x="0"/>
        <item x="2"/>
        <item x="8"/>
        <item x="6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numFmtId="164" showAll="0"/>
    <pivotField showAll="0"/>
    <pivotField showAll="0"/>
    <pivotField numFmtId="164" showAll="0"/>
    <pivotField showAll="0"/>
    <pivotField showAll="0"/>
    <pivotField showAll="0"/>
    <pivotField numFmtId="164" showAll="0"/>
    <pivotField numFmtId="164" showAll="0"/>
    <pivotField numFmtId="164" showAll="0"/>
    <pivotField showAll="0"/>
    <pivotField showAll="0"/>
  </pivotFields>
  <rowFields count="1">
    <field x="6"/>
  </rowFields>
  <rowItems count="10">
    <i>
      <x v="4"/>
    </i>
    <i>
      <x v="1"/>
    </i>
    <i>
      <x v="3"/>
    </i>
    <i>
      <x v="8"/>
    </i>
    <i>
      <x/>
    </i>
    <i>
      <x v="6"/>
    </i>
    <i>
      <x v="7"/>
    </i>
    <i>
      <x v="5"/>
    </i>
    <i>
      <x v="2"/>
    </i>
    <i t="grand">
      <x/>
    </i>
  </rowItems>
  <colItems count="1">
    <i/>
  </colItems>
  <dataFields count="1">
    <dataField name="Total Quantity" fld="7" baseField="0" baseItem="0"/>
  </dataFields>
  <formats count="1">
    <format dxfId="13">
      <pivotArea collapsedLevelsAreSubtotals="1" fieldPosition="0">
        <references count="1">
          <reference field="6" count="0"/>
        </references>
      </pivotArea>
    </format>
  </formats>
  <pivotTableStyleInfo name="PivotStyleMedium10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7000000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Order Status">
  <location ref="E13:F17" firstHeaderRow="1" firstDataRow="1" firstDataCol="1"/>
  <pivotFields count="22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showAll="0"/>
    <pivotField axis="axisRow" showAll="0">
      <items count="4">
        <item x="0"/>
        <item x="2"/>
        <item x="1"/>
        <item t="default"/>
      </items>
    </pivotField>
    <pivotField numFmtId="164" showAll="0"/>
    <pivotField showAll="0"/>
    <pivotField showAll="0"/>
    <pivotField showAll="0"/>
    <pivotField numFmtId="164" showAll="0"/>
    <pivotField numFmtId="164" showAll="0"/>
    <pivotField numFmtId="164" showAll="0"/>
    <pivotField showAll="0"/>
    <pivotField showAll="0"/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Revenue" fld="10" baseField="12" baseItem="2" numFmtId="166"/>
  </dataFields>
  <pivotTableStyleInfo name="PivotStyleLight17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C000000}" name="PivotTable5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Region">
  <location ref="K3:L8" firstHeaderRow="1" firstDataRow="1" firstDataCol="1"/>
  <pivotFields count="22">
    <pivotField showAll="0"/>
    <pivotField numFmtId="14"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showAll="0"/>
    <pivotField showAll="0"/>
    <pivotField numFmtId="164" showAll="0"/>
    <pivotField showAll="0"/>
    <pivotField showAll="0"/>
    <pivotField showAll="0"/>
    <pivotField numFmtId="164" showAll="0"/>
    <pivotField numFmtId="164" showAll="0"/>
    <pivotField numFmtId="164"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Revenue" fld="10" subtotal="average" baseField="2" baseItem="2" numFmtId="166"/>
  </dataFields>
  <pivotTableStyleInfo name="PivotStyleLight17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3000000}" name="PivotTable11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Category">
  <location ref="E22:F26" firstHeaderRow="1" firstDataRow="1" firstDataCol="1"/>
  <pivotFields count="22">
    <pivotField showAll="0"/>
    <pivotField numFmtId="14" showAll="0"/>
    <pivotField showAll="0"/>
    <pivotField showAll="0"/>
    <pivotField showAll="0"/>
    <pivotField axis="axisRow"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numFmtId="164" showAll="0"/>
    <pivotField showAll="0"/>
    <pivotField showAll="0"/>
    <pivotField numFmtId="164" showAll="0"/>
    <pivotField showAll="0"/>
    <pivotField showAll="0"/>
    <pivotField showAll="0"/>
    <pivotField numFmtId="164" showAll="0"/>
    <pivotField numFmtId="164" showAll="0"/>
    <pivotField numFmtId="164"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Quantity" fld="7" baseField="0" baseItem="0"/>
  </dataFields>
  <formats count="2">
    <format dxfId="15">
      <pivotArea dataOnly="0" labelOnly="1" outline="0" axis="axisValues" fieldPosition="0"/>
    </format>
    <format dxfId="14">
      <pivotArea outline="0" collapsedLevelsAreSubtotals="1" fieldPosition="0"/>
    </format>
  </formats>
  <pivotTableStyleInfo name="PivotStyleLight17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4000000}" name="PivotTable3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3" rowHeaderCaption="Category" colHeaderCaption="Product">
  <location ref="E3:F7" firstHeaderRow="1" firstDataRow="1" firstDataCol="1"/>
  <pivotFields count="22">
    <pivotField showAll="0"/>
    <pivotField numFmtId="14" showAll="0"/>
    <pivotField showAll="0"/>
    <pivotField showAll="0"/>
    <pivotField showAll="0"/>
    <pivotField axis="axisRow" showAll="0">
      <items count="4">
        <item sd="0" x="0"/>
        <item sd="0" x="2"/>
        <item sd="0" x="1"/>
        <item t="default"/>
      </items>
    </pivotField>
    <pivotField axis="axisRow" showAll="0">
      <items count="10">
        <item x="3"/>
        <item x="4"/>
        <item x="1"/>
        <item x="5"/>
        <item x="0"/>
        <item x="2"/>
        <item x="8"/>
        <item x="6"/>
        <item x="7"/>
        <item t="default"/>
      </items>
    </pivotField>
    <pivotField showAll="0"/>
    <pivotField showAll="0"/>
    <pivotField showAll="0"/>
    <pivotField dataField="1" numFmtId="164" showAll="0"/>
    <pivotField showAll="0"/>
    <pivotField showAll="0"/>
    <pivotField numFmtId="164" showAll="0"/>
    <pivotField showAll="0"/>
    <pivotField showAll="0"/>
    <pivotField showAll="0"/>
    <pivotField numFmtId="164" showAll="0"/>
    <pivotField numFmtId="164" showAll="0"/>
    <pivotField numFmtId="164" showAll="0"/>
    <pivotField showAll="0"/>
    <pivotField showAll="0"/>
  </pivotFields>
  <rowFields count="2">
    <field x="5"/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Revenue " fld="10" baseField="5" baseItem="2" numFmtId="166"/>
  </dataFields>
  <formats count="5">
    <format dxfId="20">
      <pivotArea collapsedLevelsAreSubtotals="1" fieldPosition="0">
        <references count="1">
          <reference field="5" count="1">
            <x v="0"/>
          </reference>
        </references>
      </pivotArea>
    </format>
    <format dxfId="19">
      <pivotArea dataOnly="0" labelOnly="1" fieldPosition="0">
        <references count="1">
          <reference field="5" count="1">
            <x v="2"/>
          </reference>
        </references>
      </pivotArea>
    </format>
    <format dxfId="18">
      <pivotArea outline="0" fieldPosition="0">
        <references count="1">
          <reference field="4294967294" count="1">
            <x v="0"/>
          </reference>
        </references>
      </pivotArea>
    </format>
    <format dxfId="17">
      <pivotArea field="5" type="button" dataOnly="0" labelOnly="1" outline="0" axis="axisRow" fieldPosition="0"/>
    </format>
    <format dxfId="16">
      <pivotArea dataOnly="0" labelOnly="1" outline="0" axis="axisValues" fieldPosition="0"/>
    </format>
  </formats>
  <chartFormats count="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7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D000000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Month">
  <location ref="H13:I26" firstHeaderRow="1" firstDataRow="1" firstDataCol="1"/>
  <pivotFields count="22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showAll="0"/>
    <pivotField showAll="0"/>
    <pivotField numFmtId="164" showAll="0"/>
    <pivotField showAll="0"/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4" showAll="0"/>
    <pivotField numFmtId="164" showAll="0"/>
    <pivotField numFmtId="164" showAll="0"/>
    <pivotField showAll="0"/>
    <pivotField showAll="0"/>
  </pivotFields>
  <rowFields count="1">
    <field x="15"/>
  </rowFields>
  <rowItems count="13">
    <i>
      <x v="4"/>
    </i>
    <i>
      <x v="3"/>
    </i>
    <i>
      <x v="2"/>
    </i>
    <i>
      <x/>
    </i>
    <i>
      <x v="5"/>
    </i>
    <i>
      <x v="1"/>
    </i>
    <i>
      <x v="11"/>
    </i>
    <i>
      <x v="6"/>
    </i>
    <i>
      <x v="7"/>
    </i>
    <i>
      <x v="10"/>
    </i>
    <i>
      <x v="8"/>
    </i>
    <i>
      <x v="9"/>
    </i>
    <i t="grand">
      <x/>
    </i>
  </rowItems>
  <colItems count="1">
    <i/>
  </colItems>
  <dataFields count="1">
    <dataField name=" Revenue Trend" fld="10" baseField="15" baseItem="2" numFmtId="166"/>
  </dataField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6000000}" name="PivotTable14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Payment method" colHeaderCaption="Region">
  <location ref="H35:M40" firstHeaderRow="1" firstDataRow="2" firstDataCol="1"/>
  <pivotFields count="22">
    <pivotField showAll="0"/>
    <pivotField numFmtId="14" showAll="0"/>
    <pivotField axis="axisCol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2" count="1" selected="0">
              <x v="1"/>
            </reference>
          </references>
        </pivotArea>
      </autoSortScope>
    </pivotField>
    <pivotField showAll="0"/>
    <pivotField numFmtId="164" showAll="0"/>
    <pivotField showAll="0"/>
    <pivotField showAll="0"/>
    <pivotField showAll="0"/>
    <pivotField numFmtId="164" showAll="0"/>
    <pivotField numFmtId="164" showAll="0"/>
    <pivotField numFmtId="164" showAll="0"/>
    <pivotField showAll="0"/>
    <pivotField showAll="0"/>
  </pivotFields>
  <rowFields count="1">
    <field x="11"/>
  </rowFields>
  <rowItems count="4">
    <i>
      <x v="1"/>
    </i>
    <i>
      <x/>
    </i>
    <i>
      <x v="2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 Revenue" fld="10" baseField="11" baseItem="0" numFmtId="166"/>
  </dataFields>
  <pivotTableStyleInfo name="PivotStyleLight17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A000000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Quarter">
  <location ref="K13:L18" firstHeaderRow="1" firstDataRow="1" firstDataCol="1"/>
  <pivotFields count="22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showAll="0"/>
    <pivotField showAll="0"/>
    <pivotField numFmtId="164"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numFmtId="164" showAll="0"/>
    <pivotField numFmtId="164" showAll="0"/>
    <pivotField numFmtId="164" showAll="0"/>
    <pivotField showAll="0"/>
    <pivotField showAll="0"/>
  </pivotFields>
  <rowFields count="1">
    <field x="1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 Revenue" fld="10" baseField="16" baseItem="1" numFmtId="166"/>
  </dataFields>
  <pivotTableStyleInfo name="PivotStyleLight17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2000000}" name="PivotTable4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Sales Person">
  <location ref="H3:I10" firstHeaderRow="1" firstDataRow="1" firstDataCol="1"/>
  <pivotFields count="22">
    <pivotField showAll="0"/>
    <pivotField numFmtId="14" showAll="0"/>
    <pivotField showAll="0"/>
    <pivotField axis="axisRow" showAll="0">
      <items count="7">
        <item x="4"/>
        <item x="5"/>
        <item x="0"/>
        <item x="3"/>
        <item x="1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numFmtId="164" showAll="0"/>
    <pivotField showAll="0"/>
    <pivotField showAll="0"/>
    <pivotField numFmtId="164" showAll="0"/>
    <pivotField showAll="0"/>
    <pivotField showAll="0"/>
    <pivotField showAll="0"/>
    <pivotField numFmtId="164" showAll="0"/>
    <pivotField numFmtId="164" showAll="0"/>
    <pivotField numFmtId="164" showAll="0"/>
    <pivotField showAll="0"/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Quantity" fld="7" baseField="3" baseItem="0"/>
  </dataFields>
  <pivotTableStyleInfo name="PivotStyleLight17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B000000}" name="PivotTable12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Region" colHeaderCaption="Category">
  <location ref="A35:E41" firstHeaderRow="1" firstDataRow="2" firstDataCol="1"/>
  <pivotFields count="22">
    <pivotField showAll="0"/>
    <pivotField numFmtId="14" showAll="0"/>
    <pivotField axis="axisRow"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5" count="1" selected="0">
              <x v="1"/>
            </reference>
          </references>
        </pivotArea>
      </autoSortScope>
    </pivotField>
    <pivotField showAll="0"/>
    <pivotField showAll="0"/>
    <pivotField axis="axisCol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dataField="1" numFmtId="164" showAll="0"/>
    <pivotField showAll="0"/>
    <pivotField showAll="0"/>
    <pivotField numFmtId="164" showAll="0"/>
    <pivotField showAll="0"/>
    <pivotField showAll="0"/>
    <pivotField showAll="0"/>
    <pivotField numFmtId="164" showAll="0"/>
    <pivotField numFmtId="164" showAll="0"/>
    <pivotField numFmtId="164" showAll="0"/>
    <pivotField showAll="0"/>
    <pivotField showAll="0"/>
  </pivotFields>
  <rowFields count="1">
    <field x="2"/>
  </rowFields>
  <rowItems count="5">
    <i>
      <x v="3"/>
    </i>
    <i>
      <x v="2"/>
    </i>
    <i>
      <x v="1"/>
    </i>
    <i>
      <x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Region vs Category" fld="10" baseField="2" baseItem="2" numFmtId="166"/>
  </dataFields>
  <formats count="1">
    <format dxfId="21">
      <pivotArea outline="0" collapsedLevelsAreSubtotals="1" fieldPosition="0"/>
    </format>
  </formats>
  <pivotTableStyleInfo name="PivotStyleLight17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PivotTable13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Salesperson" colHeaderCaption="Regions">
  <location ref="A48:F56" firstHeaderRow="1" firstDataRow="2" firstDataCol="1"/>
  <pivotFields count="22">
    <pivotField showAll="0"/>
    <pivotField numFmtId="14" showAll="0"/>
    <pivotField axis="axisCol" showAll="0">
      <items count="5">
        <item x="2"/>
        <item x="3"/>
        <item x="0"/>
        <item x="1"/>
        <item t="default"/>
      </items>
    </pivotField>
    <pivotField axis="axisRow" showAll="0" sortType="descending">
      <items count="7">
        <item x="4"/>
        <item x="5"/>
        <item x="0"/>
        <item x="3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numFmtId="164" showAll="0"/>
    <pivotField showAll="0"/>
    <pivotField showAll="0"/>
    <pivotField numFmtId="164" showAll="0"/>
    <pivotField showAll="0"/>
    <pivotField showAll="0"/>
    <pivotField showAll="0"/>
    <pivotField numFmtId="164" showAll="0"/>
    <pivotField numFmtId="164" showAll="0"/>
    <pivotField numFmtId="164" showAll="0"/>
    <pivotField showAll="0"/>
    <pivotField showAll="0"/>
  </pivotFields>
  <rowFields count="1">
    <field x="3"/>
  </rowFields>
  <rowItems count="7">
    <i>
      <x v="3"/>
    </i>
    <i>
      <x v="5"/>
    </i>
    <i>
      <x v="2"/>
    </i>
    <i>
      <x v="4"/>
    </i>
    <i>
      <x v="1"/>
    </i>
    <i>
      <x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Revenue calc" fld="10" baseField="3" baseItem="1" numFmtId="166"/>
  </dataFields>
  <formats count="9">
    <format dxfId="30">
      <pivotArea outline="0" collapsedLevelsAreSubtotals="1" fieldPosition="0">
        <references count="1">
          <reference field="2" count="3" selected="0">
            <x v="1"/>
            <x v="2"/>
            <x v="3"/>
          </reference>
        </references>
      </pivotArea>
    </format>
    <format dxfId="29">
      <pivotArea grandCol="1" outline="0" collapsedLevelsAreSubtotals="1" fieldPosition="0"/>
    </format>
    <format dxfId="28">
      <pivotArea outline="0" collapsedLevelsAreSubtotals="1" fieldPosition="0">
        <references count="1">
          <reference field="2" count="1" selected="0">
            <x v="3"/>
          </reference>
        </references>
      </pivotArea>
    </format>
    <format dxfId="27">
      <pivotArea outline="0" collapsedLevelsAreSubtotals="1" fieldPosition="0">
        <references count="1">
          <reference field="2" count="1" selected="0">
            <x v="2"/>
          </reference>
        </references>
      </pivotArea>
    </format>
    <format dxfId="26">
      <pivotArea outline="0" collapsedLevelsAreSubtotals="1" fieldPosition="0">
        <references count="1">
          <reference field="2" count="1" selected="0">
            <x v="0"/>
          </reference>
        </references>
      </pivotArea>
    </format>
    <format dxfId="25">
      <pivotArea dataOnly="0" outline="0" fieldPosition="0">
        <references count="1">
          <reference field="2" count="1">
            <x v="0"/>
          </reference>
        </references>
      </pivotArea>
    </format>
    <format dxfId="24">
      <pivotArea dataOnly="0" labelOnly="1" fieldPosition="0">
        <references count="1">
          <reference field="2" count="3">
            <x v="1"/>
            <x v="2"/>
            <x v="3"/>
          </reference>
        </references>
      </pivotArea>
    </format>
    <format dxfId="23">
      <pivotArea dataOnly="0" labelOnly="1" grandCol="1" outline="0" fieldPosition="0"/>
    </format>
    <format dxfId="22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7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8000000}" name="PivotTable6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8" rowHeaderCaption="Payment method">
  <location ref="A13:B17" firstHeaderRow="1" firstDataRow="1" firstDataCol="1"/>
  <pivotFields count="22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axis="axisRow" showAll="0">
      <items count="4">
        <item x="0"/>
        <item x="1"/>
        <item x="2"/>
        <item t="default"/>
      </items>
    </pivotField>
    <pivotField showAll="0"/>
    <pivotField numFmtId="164" showAll="0"/>
    <pivotField showAll="0"/>
    <pivotField showAll="0"/>
    <pivotField showAll="0"/>
    <pivotField numFmtId="164" showAll="0"/>
    <pivotField numFmtId="164" showAll="0"/>
    <pivotField numFmtId="164" showAll="0"/>
    <pivotField showAll="0"/>
    <pivotField showAll="0"/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Revenue" fld="10" baseField="11" baseItem="1" numFmtId="166"/>
  </dataFields>
  <chartFormats count="4"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7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</chartFormats>
  <pivotTableStyleInfo name="PivotStyleLight17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N301" totalsRowShown="0" headerRowDxfId="76" dataDxfId="75">
  <tableColumns count="14">
    <tableColumn id="1" xr3:uid="{00000000-0010-0000-0000-000001000000}" name="OrderID" dataDxfId="74"/>
    <tableColumn id="2" xr3:uid="{00000000-0010-0000-0000-000002000000}" name="OrderDate" dataDxfId="73"/>
    <tableColumn id="3" xr3:uid="{00000000-0010-0000-0000-000003000000}" name="Region"/>
    <tableColumn id="4" xr3:uid="{00000000-0010-0000-0000-000004000000}" name="Salesperson"/>
    <tableColumn id="5" xr3:uid="{00000000-0010-0000-0000-000005000000}" name="Customer"/>
    <tableColumn id="6" xr3:uid="{00000000-0010-0000-0000-000006000000}" name="Category"/>
    <tableColumn id="7" xr3:uid="{00000000-0010-0000-0000-000007000000}" name="Product"/>
    <tableColumn id="8" xr3:uid="{00000000-0010-0000-0000-000008000000}" name="Quantity"/>
    <tableColumn id="9" xr3:uid="{00000000-0010-0000-0000-000009000000}" name="UnitPrice" dataDxfId="72"/>
    <tableColumn id="10" xr3:uid="{00000000-0010-0000-0000-00000A000000}" name="Discount" dataDxfId="71"/>
    <tableColumn id="11" xr3:uid="{00000000-0010-0000-0000-00000B000000}" name="Revenue" dataDxfId="70"/>
    <tableColumn id="12" xr3:uid="{00000000-0010-0000-0000-00000C000000}" name="Payment"/>
    <tableColumn id="13" xr3:uid="{00000000-0010-0000-0000-00000D000000}" name="Status"/>
    <tableColumn id="17" xr3:uid="{00000000-0010-0000-0000-000011000000}" name="Revenue check" dataDxfId="69">
      <calculatedColumnFormula>Table1[[#This Row],[Quantity]]*Table1[[#This Row],[UnitPrice]]*(1-Table1[[#This Row],[Discount]])</calculatedColumnFormula>
    </tableColumn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4" displayName="Table14" ref="A1:V302" totalsRowCount="1" headerRowDxfId="68" dataDxfId="67">
  <tableColumns count="22">
    <tableColumn id="1" xr3:uid="{00000000-0010-0000-0100-000001000000}" name="OrderID" dataDxfId="66" totalsRowDxfId="65"/>
    <tableColumn id="2" xr3:uid="{00000000-0010-0000-0100-000002000000}" name="OrderDate" dataDxfId="64" totalsRowDxfId="63"/>
    <tableColumn id="3" xr3:uid="{00000000-0010-0000-0100-000003000000}" name="Region"/>
    <tableColumn id="4" xr3:uid="{00000000-0010-0000-0100-000004000000}" name="Salesperson"/>
    <tableColumn id="5" xr3:uid="{00000000-0010-0000-0100-000005000000}" name="Customer"/>
    <tableColumn id="6" xr3:uid="{00000000-0010-0000-0100-000006000000}" name="Category"/>
    <tableColumn id="7" xr3:uid="{00000000-0010-0000-0100-000007000000}" name="Product"/>
    <tableColumn id="8" xr3:uid="{00000000-0010-0000-0100-000008000000}" name="Quantity"/>
    <tableColumn id="9" xr3:uid="{00000000-0010-0000-0100-000009000000}" name="UnitPrice" dataDxfId="62" totalsRowDxfId="61"/>
    <tableColumn id="10" xr3:uid="{00000000-0010-0000-0100-00000A000000}" name="Discount" dataDxfId="60" totalsRowDxfId="59"/>
    <tableColumn id="11" xr3:uid="{00000000-0010-0000-0100-00000B000000}" name="Revenue" dataDxfId="58" totalsRowDxfId="57"/>
    <tableColumn id="12" xr3:uid="{00000000-0010-0000-0100-00000C000000}" name="Payment"/>
    <tableColumn id="13" xr3:uid="{00000000-0010-0000-0100-00000D000000}" name="Status"/>
    <tableColumn id="17" xr3:uid="{00000000-0010-0000-0100-000011000000}" name="Revenue check" dataDxfId="56" totalsRowDxfId="55">
      <calculatedColumnFormula>Table14[[#This Row],[Quantity]]*Table14[[#This Row],[UnitPrice]]*(1-Table14[[#This Row],[Discount]])</calculatedColumnFormula>
    </tableColumn>
    <tableColumn id="20" xr3:uid="{00000000-0010-0000-0100-000014000000}" name="YEAR" dataDxfId="54" totalsRowDxfId="53">
      <calculatedColumnFormula>YEAR(Table14[[#This Row],[OrderDate]])</calculatedColumnFormula>
    </tableColumn>
    <tableColumn id="21" xr3:uid="{00000000-0010-0000-0100-000015000000}" name="Month name" dataDxfId="52" totalsRowDxfId="51">
      <calculatedColumnFormula>TEXT(Table14[[#This Row],[OrderDate]],"mmmm")</calculatedColumnFormula>
    </tableColumn>
    <tableColumn id="22" xr3:uid="{00000000-0010-0000-0100-000016000000}" name="Quarter" dataDxfId="50" totalsRowDxfId="49">
      <calculatedColumnFormula>"Q"&amp;ROUNDUP(MONTH(B2)/3,0)</calculatedColumnFormula>
    </tableColumn>
    <tableColumn id="23" xr3:uid="{00000000-0010-0000-0100-000017000000}" name="Profit" dataDxfId="48" totalsRowDxfId="47">
      <calculatedColumnFormula>Table14[[#This Row],[Revenue]]*25%</calculatedColumnFormula>
    </tableColumn>
    <tableColumn id="16" xr3:uid="{00000000-0010-0000-0100-000010000000}" name="VAT" dataDxfId="46" totalsRowDxfId="45">
      <calculatedColumnFormula>K2*18%</calculatedColumnFormula>
    </tableColumn>
    <tableColumn id="25" xr3:uid="{00000000-0010-0000-0100-000019000000}" name="NET Revenue" dataDxfId="44" totalsRowDxfId="43">
      <calculatedColumnFormula>K2-S2</calculatedColumnFormula>
    </tableColumn>
    <tableColumn id="15" xr3:uid="{00000000-0010-0000-0100-00000F000000}" name="Revenue Category" dataDxfId="42" totalsRowDxfId="41">
      <calculatedColumnFormula array="1">_xlfn.IFS(Table14[[#This Row],[Revenue]]&gt;10000,"High",AND(Table14[[#This Row],[Revenue]]&gt;=5000,Table14[[#This Row],[Revenue]]&lt;=10000),"Medium",Table14[[#This Row],[Revenue]]&lt;5000,"Low")</calculatedColumnFormula>
    </tableColumn>
    <tableColumn id="19" xr3:uid="{00000000-0010-0000-0100-000013000000}" name="AVG  ORDER VAL" totalsRowLabel="4336.276933" dataDxfId="40" totalsRowDxfId="39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13" displayName="Table13" ref="A1:N301" totalsRowShown="0" headerRowDxfId="38" dataDxfId="37">
  <autoFilter ref="A1:N301" xr:uid="{00000000-0009-0000-0100-000003000000}">
    <filterColumn colId="2">
      <filters>
        <filter val="North"/>
      </filters>
    </filterColumn>
  </autoFilter>
  <sortState xmlns:xlrd2="http://schemas.microsoft.com/office/spreadsheetml/2017/richdata2" ref="A2:N301">
    <sortCondition ref="B1:B301"/>
  </sortState>
  <tableColumns count="14">
    <tableColumn id="1" xr3:uid="{00000000-0010-0000-0200-000001000000}" name="OrderID" dataDxfId="36"/>
    <tableColumn id="2" xr3:uid="{00000000-0010-0000-0200-000002000000}" name="OrderDate" dataDxfId="35"/>
    <tableColumn id="3" xr3:uid="{00000000-0010-0000-0200-000003000000}" name="Region"/>
    <tableColumn id="4" xr3:uid="{00000000-0010-0000-0200-000004000000}" name="Salesperson"/>
    <tableColumn id="5" xr3:uid="{00000000-0010-0000-0200-000005000000}" name="Customer"/>
    <tableColumn id="6" xr3:uid="{00000000-0010-0000-0200-000006000000}" name="Category"/>
    <tableColumn id="7" xr3:uid="{00000000-0010-0000-0200-000007000000}" name="Product"/>
    <tableColumn id="8" xr3:uid="{00000000-0010-0000-0200-000008000000}" name="Quantity"/>
    <tableColumn id="9" xr3:uid="{00000000-0010-0000-0200-000009000000}" name="UnitPrice" dataDxfId="34"/>
    <tableColumn id="10" xr3:uid="{00000000-0010-0000-0200-00000A000000}" name="Discount" dataDxfId="33"/>
    <tableColumn id="11" xr3:uid="{00000000-0010-0000-0200-00000B000000}" name="Revenue" dataDxfId="32"/>
    <tableColumn id="12" xr3:uid="{00000000-0010-0000-0200-00000C000000}" name="Payment"/>
    <tableColumn id="13" xr3:uid="{00000000-0010-0000-0200-00000D000000}" name="Status"/>
    <tableColumn id="17" xr3:uid="{00000000-0010-0000-0200-000011000000}" name="Revenue check" dataDxfId="31">
      <calculatedColumnFormula>Table13[[#This Row],[Quantity]]*Table13[[#This Row],[UnitPrice]]*(1-Table13[[#This Row],[Discount]])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473C1-60E6-4B94-8774-CD51671ECBFE}">
  <dimension ref="A1:M301"/>
  <sheetViews>
    <sheetView workbookViewId="0">
      <selection activeCell="P10" sqref="P10"/>
    </sheetView>
  </sheetViews>
  <sheetFormatPr defaultRowHeight="14.5" x14ac:dyDescent="0.35"/>
  <sheetData>
    <row r="1" spans="1:13" x14ac:dyDescent="0.35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</row>
    <row r="2" spans="1:13" x14ac:dyDescent="0.35">
      <c r="A2" s="18">
        <v>1001</v>
      </c>
      <c r="B2" s="27">
        <v>46146</v>
      </c>
      <c r="C2" s="18" t="s">
        <v>21</v>
      </c>
      <c r="D2" s="18" t="s">
        <v>15</v>
      </c>
      <c r="E2" s="18" t="s">
        <v>94</v>
      </c>
      <c r="F2" s="18" t="s">
        <v>17</v>
      </c>
      <c r="G2" s="18" t="s">
        <v>30</v>
      </c>
      <c r="H2" s="18">
        <v>4</v>
      </c>
      <c r="I2" s="18">
        <v>424.95</v>
      </c>
      <c r="J2" s="18">
        <v>0.1</v>
      </c>
      <c r="K2" s="18">
        <v>1529.82</v>
      </c>
      <c r="L2" s="18" t="s">
        <v>35</v>
      </c>
      <c r="M2" s="18" t="s">
        <v>26</v>
      </c>
    </row>
    <row r="3" spans="1:13" x14ac:dyDescent="0.35">
      <c r="A3" s="18">
        <v>1002</v>
      </c>
      <c r="B3" s="27">
        <v>45817</v>
      </c>
      <c r="C3" s="18" t="s">
        <v>27</v>
      </c>
      <c r="D3" s="18" t="s">
        <v>54</v>
      </c>
      <c r="E3" s="18" t="s">
        <v>77</v>
      </c>
      <c r="F3" s="18" t="s">
        <v>24</v>
      </c>
      <c r="G3" s="18" t="s">
        <v>63</v>
      </c>
      <c r="H3" s="18">
        <v>8</v>
      </c>
      <c r="I3" s="18">
        <v>958.32</v>
      </c>
      <c r="J3" s="18">
        <v>0.15</v>
      </c>
      <c r="K3" s="18">
        <v>6516.58</v>
      </c>
      <c r="L3" s="18" t="s">
        <v>19</v>
      </c>
      <c r="M3" s="18" t="s">
        <v>26</v>
      </c>
    </row>
    <row r="4" spans="1:13" x14ac:dyDescent="0.35">
      <c r="A4" s="18">
        <v>1003</v>
      </c>
      <c r="B4" s="27">
        <v>45897</v>
      </c>
      <c r="C4" s="18" t="s">
        <v>27</v>
      </c>
      <c r="D4" s="18" t="s">
        <v>47</v>
      </c>
      <c r="E4" s="18" t="s">
        <v>108</v>
      </c>
      <c r="F4" s="18" t="s">
        <v>24</v>
      </c>
      <c r="G4" s="18" t="s">
        <v>25</v>
      </c>
      <c r="H4" s="18">
        <v>13</v>
      </c>
      <c r="I4" s="18">
        <v>1071.08</v>
      </c>
      <c r="J4" s="18">
        <v>0.1</v>
      </c>
      <c r="K4" s="18">
        <v>12531.64</v>
      </c>
      <c r="L4" s="18" t="s">
        <v>35</v>
      </c>
      <c r="M4" s="18" t="s">
        <v>26</v>
      </c>
    </row>
    <row r="5" spans="1:13" x14ac:dyDescent="0.35">
      <c r="A5" s="18">
        <v>1004</v>
      </c>
      <c r="B5" s="27">
        <v>46159</v>
      </c>
      <c r="C5" s="18" t="s">
        <v>14</v>
      </c>
      <c r="D5" s="18" t="s">
        <v>22</v>
      </c>
      <c r="E5" s="18" t="s">
        <v>116</v>
      </c>
      <c r="F5" s="18" t="s">
        <v>17</v>
      </c>
      <c r="G5" s="18" t="s">
        <v>46</v>
      </c>
      <c r="H5" s="18">
        <v>15</v>
      </c>
      <c r="I5" s="18">
        <v>874.8</v>
      </c>
      <c r="J5" s="18">
        <v>0.1</v>
      </c>
      <c r="K5" s="18">
        <v>11809.8</v>
      </c>
      <c r="L5" s="18" t="s">
        <v>35</v>
      </c>
      <c r="M5" s="18" t="s">
        <v>26</v>
      </c>
    </row>
    <row r="6" spans="1:13" x14ac:dyDescent="0.35">
      <c r="A6" s="18">
        <v>1005</v>
      </c>
      <c r="B6" s="27">
        <v>46180</v>
      </c>
      <c r="C6" s="18" t="s">
        <v>21</v>
      </c>
      <c r="D6" s="18" t="s">
        <v>28</v>
      </c>
      <c r="E6" s="18" t="s">
        <v>50</v>
      </c>
      <c r="F6" s="18" t="s">
        <v>33</v>
      </c>
      <c r="G6" s="18" t="s">
        <v>61</v>
      </c>
      <c r="H6" s="18">
        <v>8</v>
      </c>
      <c r="I6" s="18">
        <v>510.37</v>
      </c>
      <c r="J6" s="18">
        <v>0.05</v>
      </c>
      <c r="K6" s="18">
        <v>3878.81</v>
      </c>
      <c r="L6" s="18" t="s">
        <v>39</v>
      </c>
      <c r="M6" s="18" t="s">
        <v>26</v>
      </c>
    </row>
    <row r="7" spans="1:13" x14ac:dyDescent="0.35">
      <c r="A7" s="18">
        <v>1006</v>
      </c>
      <c r="B7" s="27">
        <v>46104</v>
      </c>
      <c r="C7" s="18" t="s">
        <v>21</v>
      </c>
      <c r="D7" s="18" t="s">
        <v>28</v>
      </c>
      <c r="E7" s="18" t="s">
        <v>73</v>
      </c>
      <c r="F7" s="18" t="s">
        <v>17</v>
      </c>
      <c r="G7" s="18" t="s">
        <v>30</v>
      </c>
      <c r="H7" s="18">
        <v>8</v>
      </c>
      <c r="I7" s="18">
        <v>547.41</v>
      </c>
      <c r="J7" s="18">
        <v>0.15</v>
      </c>
      <c r="K7" s="18">
        <v>3722.39</v>
      </c>
      <c r="L7" s="18" t="s">
        <v>19</v>
      </c>
      <c r="M7" s="18" t="s">
        <v>26</v>
      </c>
    </row>
    <row r="8" spans="1:13" x14ac:dyDescent="0.35">
      <c r="A8" s="18">
        <v>1007</v>
      </c>
      <c r="B8" s="27">
        <v>45916</v>
      </c>
      <c r="C8" s="18" t="s">
        <v>14</v>
      </c>
      <c r="D8" s="18" t="s">
        <v>47</v>
      </c>
      <c r="E8" s="18" t="s">
        <v>104</v>
      </c>
      <c r="F8" s="18" t="s">
        <v>24</v>
      </c>
      <c r="G8" s="18" t="s">
        <v>38</v>
      </c>
      <c r="H8" s="18">
        <v>10</v>
      </c>
      <c r="I8" s="18">
        <v>812.04</v>
      </c>
      <c r="J8" s="18">
        <v>0.1</v>
      </c>
      <c r="K8" s="18">
        <v>7308.36</v>
      </c>
      <c r="L8" s="18" t="s">
        <v>39</v>
      </c>
      <c r="M8" s="18" t="s">
        <v>20</v>
      </c>
    </row>
    <row r="9" spans="1:13" x14ac:dyDescent="0.35">
      <c r="A9" s="18">
        <v>1008</v>
      </c>
      <c r="B9" s="27">
        <v>46103</v>
      </c>
      <c r="C9" s="18" t="s">
        <v>21</v>
      </c>
      <c r="D9" s="18" t="s">
        <v>54</v>
      </c>
      <c r="E9" s="18" t="s">
        <v>95</v>
      </c>
      <c r="F9" s="18" t="s">
        <v>17</v>
      </c>
      <c r="G9" s="18" t="s">
        <v>18</v>
      </c>
      <c r="H9" s="18">
        <v>9</v>
      </c>
      <c r="I9" s="18">
        <v>1074.54</v>
      </c>
      <c r="J9" s="18">
        <v>0</v>
      </c>
      <c r="K9" s="18">
        <v>9670.86</v>
      </c>
      <c r="L9" s="18" t="s">
        <v>19</v>
      </c>
      <c r="M9" s="18" t="s">
        <v>36</v>
      </c>
    </row>
    <row r="10" spans="1:13" x14ac:dyDescent="0.35">
      <c r="A10" s="18">
        <v>1009</v>
      </c>
      <c r="B10" s="27">
        <v>46026</v>
      </c>
      <c r="C10" s="18" t="s">
        <v>180</v>
      </c>
      <c r="D10" s="18" t="s">
        <v>15</v>
      </c>
      <c r="E10" s="18" t="s">
        <v>111</v>
      </c>
      <c r="F10" s="18" t="s">
        <v>33</v>
      </c>
      <c r="G10" s="18" t="s">
        <v>53</v>
      </c>
      <c r="H10" s="18">
        <v>6</v>
      </c>
      <c r="I10" s="18">
        <v>418.1</v>
      </c>
      <c r="J10" s="18">
        <v>0.05</v>
      </c>
      <c r="K10" s="18">
        <v>2383.17</v>
      </c>
      <c r="L10" s="18" t="s">
        <v>35</v>
      </c>
      <c r="M10" s="18" t="s">
        <v>36</v>
      </c>
    </row>
    <row r="11" spans="1:13" x14ac:dyDescent="0.35">
      <c r="A11" s="18">
        <v>1010</v>
      </c>
      <c r="B11" s="27">
        <v>45771</v>
      </c>
      <c r="C11" s="18" t="s">
        <v>14</v>
      </c>
      <c r="D11" s="18" t="s">
        <v>31</v>
      </c>
      <c r="E11" s="18" t="s">
        <v>87</v>
      </c>
      <c r="F11" s="18" t="s">
        <v>24</v>
      </c>
      <c r="G11" s="18" t="s">
        <v>63</v>
      </c>
      <c r="H11" s="18">
        <v>2</v>
      </c>
      <c r="I11" s="18">
        <v>759.34</v>
      </c>
      <c r="J11" s="18">
        <v>0.05</v>
      </c>
      <c r="K11" s="18">
        <v>1442.75</v>
      </c>
      <c r="L11" s="18" t="s">
        <v>19</v>
      </c>
      <c r="M11" s="18" t="s">
        <v>36</v>
      </c>
    </row>
    <row r="12" spans="1:13" x14ac:dyDescent="0.35">
      <c r="A12" s="18">
        <v>1011</v>
      </c>
      <c r="B12" s="27">
        <v>46059</v>
      </c>
      <c r="C12" s="18" t="s">
        <v>14</v>
      </c>
      <c r="D12" s="18" t="s">
        <v>47</v>
      </c>
      <c r="E12" s="18" t="s">
        <v>74</v>
      </c>
      <c r="F12" s="18" t="s">
        <v>24</v>
      </c>
      <c r="G12" s="18" t="s">
        <v>63</v>
      </c>
      <c r="H12" s="18">
        <v>7</v>
      </c>
      <c r="I12" s="18">
        <v>676</v>
      </c>
      <c r="J12" s="18">
        <v>0.05</v>
      </c>
      <c r="K12" s="18">
        <v>4495.3999999999996</v>
      </c>
      <c r="L12" s="18" t="s">
        <v>19</v>
      </c>
      <c r="M12" s="18" t="s">
        <v>36</v>
      </c>
    </row>
    <row r="13" spans="1:13" x14ac:dyDescent="0.35">
      <c r="A13" s="18">
        <v>1012</v>
      </c>
      <c r="B13" s="27">
        <v>46175</v>
      </c>
      <c r="C13" s="18" t="s">
        <v>14</v>
      </c>
      <c r="D13" s="18" t="s">
        <v>28</v>
      </c>
      <c r="E13" s="18" t="s">
        <v>44</v>
      </c>
      <c r="F13" s="18" t="s">
        <v>33</v>
      </c>
      <c r="G13" s="18" t="s">
        <v>53</v>
      </c>
      <c r="H13" s="18">
        <v>7</v>
      </c>
      <c r="I13" s="18">
        <v>767.22</v>
      </c>
      <c r="J13" s="18">
        <v>0.05</v>
      </c>
      <c r="K13" s="18">
        <v>5102.01</v>
      </c>
      <c r="L13" s="18" t="s">
        <v>39</v>
      </c>
      <c r="M13" s="18" t="s">
        <v>20</v>
      </c>
    </row>
    <row r="14" spans="1:13" x14ac:dyDescent="0.35">
      <c r="A14" s="18">
        <v>1013</v>
      </c>
      <c r="B14" s="27">
        <v>46181</v>
      </c>
      <c r="C14" s="18" t="s">
        <v>43</v>
      </c>
      <c r="D14" s="18" t="s">
        <v>15</v>
      </c>
      <c r="E14" s="18" t="s">
        <v>65</v>
      </c>
      <c r="F14" s="18" t="s">
        <v>33</v>
      </c>
      <c r="G14" s="18" t="s">
        <v>53</v>
      </c>
      <c r="H14" s="18">
        <v>14</v>
      </c>
      <c r="I14" s="18">
        <v>434.94</v>
      </c>
      <c r="J14" s="18">
        <v>0.15</v>
      </c>
      <c r="K14" s="18">
        <v>5175.79</v>
      </c>
      <c r="L14" s="18" t="s">
        <v>39</v>
      </c>
      <c r="M14" s="18" t="s">
        <v>26</v>
      </c>
    </row>
    <row r="15" spans="1:13" x14ac:dyDescent="0.35">
      <c r="A15" s="18">
        <v>1014</v>
      </c>
      <c r="B15" s="27">
        <v>46080</v>
      </c>
      <c r="C15" s="18" t="s">
        <v>27</v>
      </c>
      <c r="D15" s="18" t="s">
        <v>15</v>
      </c>
      <c r="E15" s="18" t="s">
        <v>92</v>
      </c>
      <c r="F15" s="18" t="s">
        <v>24</v>
      </c>
      <c r="G15" s="18" t="s">
        <v>63</v>
      </c>
      <c r="H15" s="18">
        <v>15</v>
      </c>
      <c r="I15" s="18">
        <v>543.07000000000005</v>
      </c>
      <c r="J15" s="18">
        <v>0</v>
      </c>
      <c r="K15" s="18">
        <v>8146.05</v>
      </c>
      <c r="L15" s="18" t="s">
        <v>39</v>
      </c>
      <c r="M15" s="18" t="s">
        <v>20</v>
      </c>
    </row>
    <row r="16" spans="1:13" x14ac:dyDescent="0.35">
      <c r="A16" s="18">
        <v>1015</v>
      </c>
      <c r="B16" s="27">
        <v>45920</v>
      </c>
      <c r="C16" s="18" t="s">
        <v>14</v>
      </c>
      <c r="D16" s="18" t="s">
        <v>47</v>
      </c>
      <c r="E16" s="18" t="s">
        <v>67</v>
      </c>
      <c r="F16" s="18" t="s">
        <v>33</v>
      </c>
      <c r="G16" s="18" t="s">
        <v>34</v>
      </c>
      <c r="H16" s="18">
        <v>2</v>
      </c>
      <c r="I16" s="18">
        <v>700.13</v>
      </c>
      <c r="J16" s="18">
        <v>0.05</v>
      </c>
      <c r="K16" s="18">
        <v>1330.25</v>
      </c>
      <c r="L16" s="18" t="s">
        <v>35</v>
      </c>
      <c r="M16" s="18" t="s">
        <v>36</v>
      </c>
    </row>
    <row r="17" spans="1:13" x14ac:dyDescent="0.35">
      <c r="A17" s="18">
        <v>1016</v>
      </c>
      <c r="B17" s="27">
        <v>46050</v>
      </c>
      <c r="C17" s="18" t="s">
        <v>21</v>
      </c>
      <c r="D17" s="18" t="s">
        <v>31</v>
      </c>
      <c r="E17" s="18" t="s">
        <v>67</v>
      </c>
      <c r="F17" s="18" t="s">
        <v>33</v>
      </c>
      <c r="G17" s="18" t="s">
        <v>61</v>
      </c>
      <c r="H17" s="18">
        <v>15</v>
      </c>
      <c r="I17" s="18">
        <v>1045.4100000000001</v>
      </c>
      <c r="J17" s="18">
        <v>0</v>
      </c>
      <c r="K17" s="18">
        <v>15681.15</v>
      </c>
      <c r="L17" s="18" t="s">
        <v>19</v>
      </c>
      <c r="M17" s="18" t="s">
        <v>26</v>
      </c>
    </row>
    <row r="18" spans="1:13" x14ac:dyDescent="0.35">
      <c r="A18" s="18">
        <v>1017</v>
      </c>
      <c r="B18" s="27">
        <v>45712</v>
      </c>
      <c r="C18" s="18" t="s">
        <v>43</v>
      </c>
      <c r="D18" s="18" t="s">
        <v>54</v>
      </c>
      <c r="E18" s="18" t="s">
        <v>67</v>
      </c>
      <c r="F18" s="18" t="s">
        <v>33</v>
      </c>
      <c r="G18" s="18" t="s">
        <v>34</v>
      </c>
      <c r="H18" s="18">
        <v>4</v>
      </c>
      <c r="I18" s="18">
        <v>432.55</v>
      </c>
      <c r="J18" s="18">
        <v>0</v>
      </c>
      <c r="K18" s="18">
        <v>1730.2</v>
      </c>
      <c r="L18" s="18" t="s">
        <v>19</v>
      </c>
      <c r="M18" s="18" t="s">
        <v>36</v>
      </c>
    </row>
    <row r="19" spans="1:13" x14ac:dyDescent="0.35">
      <c r="A19" s="18">
        <v>1018</v>
      </c>
      <c r="B19" s="27">
        <v>45698</v>
      </c>
      <c r="C19" s="18" t="s">
        <v>14</v>
      </c>
      <c r="D19" s="18" t="s">
        <v>22</v>
      </c>
      <c r="E19" s="18" t="s">
        <v>59</v>
      </c>
      <c r="F19" s="18" t="s">
        <v>33</v>
      </c>
      <c r="G19" s="18" t="s">
        <v>53</v>
      </c>
      <c r="H19" s="18">
        <v>8</v>
      </c>
      <c r="I19" s="18">
        <v>823.28</v>
      </c>
      <c r="J19" s="18">
        <v>0.1</v>
      </c>
      <c r="K19" s="18">
        <v>5927.62</v>
      </c>
      <c r="L19" s="18" t="s">
        <v>35</v>
      </c>
      <c r="M19" s="18" t="s">
        <v>36</v>
      </c>
    </row>
    <row r="20" spans="1:13" x14ac:dyDescent="0.35">
      <c r="A20" s="18">
        <v>1019</v>
      </c>
      <c r="B20" s="27">
        <v>45874</v>
      </c>
      <c r="C20" s="18" t="s">
        <v>21</v>
      </c>
      <c r="D20" s="18" t="s">
        <v>22</v>
      </c>
      <c r="E20" s="18" t="s">
        <v>66</v>
      </c>
      <c r="F20" s="18" t="s">
        <v>105</v>
      </c>
      <c r="G20" s="18" t="s">
        <v>63</v>
      </c>
      <c r="H20" s="18">
        <v>15</v>
      </c>
      <c r="I20" s="18">
        <v>196.38</v>
      </c>
      <c r="J20" s="18">
        <v>0.05</v>
      </c>
      <c r="K20" s="18">
        <v>2798.41</v>
      </c>
      <c r="L20" s="18" t="s">
        <v>39</v>
      </c>
      <c r="M20" s="18" t="s">
        <v>26</v>
      </c>
    </row>
    <row r="21" spans="1:13" x14ac:dyDescent="0.35">
      <c r="A21" s="18">
        <v>1020</v>
      </c>
      <c r="B21" s="27">
        <v>45723</v>
      </c>
      <c r="C21" s="18" t="s">
        <v>43</v>
      </c>
      <c r="D21" s="18" t="s">
        <v>22</v>
      </c>
      <c r="E21" s="18" t="s">
        <v>60</v>
      </c>
      <c r="F21" s="18" t="s">
        <v>33</v>
      </c>
      <c r="G21" s="18" t="s">
        <v>53</v>
      </c>
      <c r="H21" s="18">
        <v>3</v>
      </c>
      <c r="I21" s="18">
        <v>128.86000000000001</v>
      </c>
      <c r="J21" s="18">
        <v>0.1</v>
      </c>
      <c r="K21" s="18">
        <v>347.92</v>
      </c>
      <c r="L21" s="18" t="s">
        <v>19</v>
      </c>
      <c r="M21" s="18" t="s">
        <v>26</v>
      </c>
    </row>
    <row r="22" spans="1:13" x14ac:dyDescent="0.35">
      <c r="A22" s="18">
        <v>1021</v>
      </c>
      <c r="B22" s="27">
        <v>45875</v>
      </c>
      <c r="C22" s="18" t="s">
        <v>14</v>
      </c>
      <c r="D22" s="18" t="s">
        <v>31</v>
      </c>
      <c r="E22" s="18" t="s">
        <v>16</v>
      </c>
      <c r="F22" s="18" t="s">
        <v>17</v>
      </c>
      <c r="G22" s="18" t="s">
        <v>30</v>
      </c>
      <c r="H22" s="18">
        <v>4</v>
      </c>
      <c r="I22" s="18">
        <v>13.57</v>
      </c>
      <c r="J22" s="18">
        <v>0.15</v>
      </c>
      <c r="K22" s="18">
        <v>46.14</v>
      </c>
      <c r="L22" s="18" t="s">
        <v>19</v>
      </c>
      <c r="M22" s="18" t="s">
        <v>20</v>
      </c>
    </row>
    <row r="23" spans="1:13" x14ac:dyDescent="0.35">
      <c r="A23" s="18">
        <v>1022</v>
      </c>
      <c r="B23" s="27">
        <v>45965</v>
      </c>
      <c r="C23" s="18" t="s">
        <v>43</v>
      </c>
      <c r="D23" s="18" t="s">
        <v>31</v>
      </c>
      <c r="E23" s="18" t="s">
        <v>50</v>
      </c>
      <c r="F23" s="18" t="s">
        <v>24</v>
      </c>
      <c r="G23" s="18" t="s">
        <v>25</v>
      </c>
      <c r="H23" s="18">
        <v>6</v>
      </c>
      <c r="I23" s="18">
        <v>644.17999999999995</v>
      </c>
      <c r="J23" s="18">
        <v>0</v>
      </c>
      <c r="K23" s="18">
        <v>3865.08</v>
      </c>
      <c r="L23" s="18" t="s">
        <v>35</v>
      </c>
      <c r="M23" s="18" t="s">
        <v>26</v>
      </c>
    </row>
    <row r="24" spans="1:13" x14ac:dyDescent="0.35">
      <c r="A24" s="18">
        <v>1023</v>
      </c>
      <c r="B24" s="27">
        <v>45966</v>
      </c>
      <c r="C24" s="18" t="s">
        <v>27</v>
      </c>
      <c r="D24" s="18" t="s">
        <v>47</v>
      </c>
      <c r="E24" s="18" t="s">
        <v>110</v>
      </c>
      <c r="F24" s="18" t="s">
        <v>17</v>
      </c>
      <c r="G24" s="18" t="s">
        <v>46</v>
      </c>
      <c r="H24" s="18">
        <v>8</v>
      </c>
      <c r="I24" s="18">
        <v>1142.6600000000001</v>
      </c>
      <c r="J24" s="18">
        <v>0</v>
      </c>
      <c r="K24" s="18">
        <v>9141.2800000000007</v>
      </c>
      <c r="L24" s="18" t="s">
        <v>35</v>
      </c>
      <c r="M24" s="18" t="s">
        <v>36</v>
      </c>
    </row>
    <row r="25" spans="1:13" x14ac:dyDescent="0.35">
      <c r="A25" s="18">
        <v>1024</v>
      </c>
      <c r="B25" s="27">
        <v>45720</v>
      </c>
      <c r="C25" s="18" t="s">
        <v>27</v>
      </c>
      <c r="D25" s="18" t="s">
        <v>31</v>
      </c>
      <c r="E25" s="18" t="s">
        <v>71</v>
      </c>
      <c r="F25" s="18" t="s">
        <v>33</v>
      </c>
      <c r="G25" s="18" t="s">
        <v>53</v>
      </c>
      <c r="H25" s="18">
        <v>15</v>
      </c>
      <c r="I25" s="18">
        <v>310.61</v>
      </c>
      <c r="J25" s="18">
        <v>0</v>
      </c>
      <c r="K25" s="18">
        <v>4659.1499999999996</v>
      </c>
      <c r="L25" s="18" t="s">
        <v>39</v>
      </c>
      <c r="M25" s="18" t="s">
        <v>36</v>
      </c>
    </row>
    <row r="26" spans="1:13" x14ac:dyDescent="0.35">
      <c r="A26" s="18">
        <v>1025</v>
      </c>
      <c r="B26" s="27">
        <v>45791</v>
      </c>
      <c r="C26" s="18" t="s">
        <v>27</v>
      </c>
      <c r="D26" s="18" t="s">
        <v>54</v>
      </c>
      <c r="E26" s="18" t="s">
        <v>90</v>
      </c>
      <c r="F26" s="18" t="s">
        <v>17</v>
      </c>
      <c r="G26" s="18" t="s">
        <v>18</v>
      </c>
      <c r="H26" s="18">
        <v>10</v>
      </c>
      <c r="I26" s="18">
        <v>268.57</v>
      </c>
      <c r="J26" s="18">
        <v>0</v>
      </c>
      <c r="K26" s="18">
        <v>2685.7</v>
      </c>
      <c r="L26" s="18" t="s">
        <v>35</v>
      </c>
      <c r="M26" s="18" t="s">
        <v>36</v>
      </c>
    </row>
    <row r="27" spans="1:13" x14ac:dyDescent="0.35">
      <c r="A27" s="18">
        <v>1026</v>
      </c>
      <c r="B27" s="27">
        <v>45670</v>
      </c>
      <c r="C27" s="18" t="s">
        <v>27</v>
      </c>
      <c r="D27" s="18" t="s">
        <v>22</v>
      </c>
      <c r="E27" s="18" t="s">
        <v>37</v>
      </c>
      <c r="F27" s="18" t="s">
        <v>24</v>
      </c>
      <c r="G27" s="18" t="s">
        <v>38</v>
      </c>
      <c r="H27" s="18">
        <v>14</v>
      </c>
      <c r="I27" s="18">
        <v>40.020000000000003</v>
      </c>
      <c r="J27" s="18">
        <v>0.15</v>
      </c>
      <c r="K27" s="18">
        <v>476.24</v>
      </c>
      <c r="L27" s="18" t="s">
        <v>39</v>
      </c>
      <c r="M27" s="18" t="s">
        <v>36</v>
      </c>
    </row>
    <row r="28" spans="1:13" x14ac:dyDescent="0.35">
      <c r="A28" s="18">
        <v>1027</v>
      </c>
      <c r="B28" s="27">
        <v>46195</v>
      </c>
      <c r="C28" s="18" t="s">
        <v>43</v>
      </c>
      <c r="D28" s="18" t="s">
        <v>47</v>
      </c>
      <c r="E28" s="18" t="s">
        <v>50</v>
      </c>
      <c r="F28" s="18" t="s">
        <v>24</v>
      </c>
      <c r="G28" s="18" t="s">
        <v>38</v>
      </c>
      <c r="H28" s="18">
        <v>15</v>
      </c>
      <c r="I28" s="18">
        <v>962.28</v>
      </c>
      <c r="J28" s="18">
        <v>0.1</v>
      </c>
      <c r="K28" s="18">
        <v>12990.78</v>
      </c>
      <c r="L28" s="18" t="s">
        <v>19</v>
      </c>
      <c r="M28" s="18" t="s">
        <v>20</v>
      </c>
    </row>
    <row r="29" spans="1:13" x14ac:dyDescent="0.35">
      <c r="A29" s="18">
        <v>1028</v>
      </c>
      <c r="B29" s="27">
        <v>45775</v>
      </c>
      <c r="C29" s="18" t="s">
        <v>14</v>
      </c>
      <c r="D29" s="18" t="s">
        <v>15</v>
      </c>
      <c r="E29" s="18" t="s">
        <v>40</v>
      </c>
      <c r="F29" s="18" t="s">
        <v>33</v>
      </c>
      <c r="G29" s="18" t="s">
        <v>34</v>
      </c>
      <c r="H29" s="18">
        <v>11</v>
      </c>
      <c r="I29" s="18">
        <v>505.67</v>
      </c>
      <c r="J29" s="18">
        <v>0.15</v>
      </c>
      <c r="K29" s="18">
        <v>4728.01</v>
      </c>
      <c r="L29" s="18" t="s">
        <v>39</v>
      </c>
      <c r="M29" s="18" t="s">
        <v>26</v>
      </c>
    </row>
    <row r="30" spans="1:13" x14ac:dyDescent="0.35">
      <c r="A30" s="18">
        <v>1029</v>
      </c>
      <c r="B30" s="27">
        <v>46144</v>
      </c>
      <c r="C30" s="18" t="s">
        <v>27</v>
      </c>
      <c r="D30" s="18" t="s">
        <v>31</v>
      </c>
      <c r="E30" s="18" t="s">
        <v>114</v>
      </c>
      <c r="F30" s="18" t="s">
        <v>33</v>
      </c>
      <c r="G30" s="18" t="s">
        <v>34</v>
      </c>
      <c r="H30" s="18"/>
      <c r="I30" s="18">
        <v>213.59</v>
      </c>
      <c r="J30" s="18">
        <v>0</v>
      </c>
      <c r="K30" s="18">
        <v>1067.95</v>
      </c>
      <c r="L30" s="18" t="s">
        <v>19</v>
      </c>
      <c r="M30" s="18" t="s">
        <v>36</v>
      </c>
    </row>
    <row r="31" spans="1:13" x14ac:dyDescent="0.35">
      <c r="A31" s="18">
        <v>1030</v>
      </c>
      <c r="B31" s="27">
        <v>45849</v>
      </c>
      <c r="C31" s="18" t="s">
        <v>43</v>
      </c>
      <c r="D31" s="18" t="s">
        <v>22</v>
      </c>
      <c r="E31" s="18" t="s">
        <v>103</v>
      </c>
      <c r="F31" s="18" t="s">
        <v>17</v>
      </c>
      <c r="G31" s="18" t="s">
        <v>46</v>
      </c>
      <c r="H31" s="18">
        <v>2</v>
      </c>
      <c r="I31" s="18">
        <v>133.96</v>
      </c>
      <c r="J31" s="18">
        <v>0.15</v>
      </c>
      <c r="K31" s="18">
        <v>227.73</v>
      </c>
      <c r="L31" s="18" t="s">
        <v>35</v>
      </c>
      <c r="M31" s="18" t="s">
        <v>36</v>
      </c>
    </row>
    <row r="32" spans="1:13" x14ac:dyDescent="0.35">
      <c r="A32" s="18">
        <v>1031</v>
      </c>
      <c r="B32" s="27">
        <v>46114</v>
      </c>
      <c r="C32" s="18" t="s">
        <v>27</v>
      </c>
      <c r="D32" s="18" t="s">
        <v>54</v>
      </c>
      <c r="E32" s="18" t="s">
        <v>42</v>
      </c>
      <c r="F32" s="18" t="s">
        <v>24</v>
      </c>
      <c r="G32" s="18" t="s">
        <v>38</v>
      </c>
      <c r="H32" s="18">
        <v>15</v>
      </c>
      <c r="I32" s="18">
        <v>1052.1300000000001</v>
      </c>
      <c r="J32" s="18">
        <v>0.1</v>
      </c>
      <c r="K32" s="18">
        <v>14203.76</v>
      </c>
      <c r="L32" s="18" t="s">
        <v>35</v>
      </c>
      <c r="M32" s="18" t="s">
        <v>20</v>
      </c>
    </row>
    <row r="33" spans="1:13" x14ac:dyDescent="0.35">
      <c r="A33" s="18">
        <v>1032</v>
      </c>
      <c r="B33" s="27">
        <v>45986</v>
      </c>
      <c r="C33" s="18" t="s">
        <v>14</v>
      </c>
      <c r="D33" s="18" t="s">
        <v>47</v>
      </c>
      <c r="E33" s="18" t="s">
        <v>32</v>
      </c>
      <c r="F33" s="18" t="s">
        <v>24</v>
      </c>
      <c r="G33" s="18" t="s">
        <v>25</v>
      </c>
      <c r="H33" s="18">
        <v>3</v>
      </c>
      <c r="I33" s="18">
        <v>493.51</v>
      </c>
      <c r="J33" s="18">
        <v>0</v>
      </c>
      <c r="K33" s="18">
        <v>1480.53</v>
      </c>
      <c r="L33" s="18" t="s">
        <v>35</v>
      </c>
      <c r="M33" s="18" t="s">
        <v>36</v>
      </c>
    </row>
    <row r="34" spans="1:13" x14ac:dyDescent="0.35">
      <c r="A34" s="18">
        <v>1033</v>
      </c>
      <c r="B34" s="27">
        <v>45763</v>
      </c>
      <c r="C34" s="18" t="s">
        <v>27</v>
      </c>
      <c r="D34" s="18" t="s">
        <v>54</v>
      </c>
      <c r="E34" s="18" t="s">
        <v>73</v>
      </c>
      <c r="F34" s="18" t="s">
        <v>17</v>
      </c>
      <c r="G34" s="18" t="s">
        <v>18</v>
      </c>
      <c r="H34" s="18">
        <v>5</v>
      </c>
      <c r="I34" s="18">
        <v>135.82</v>
      </c>
      <c r="J34" s="18">
        <v>0.05</v>
      </c>
      <c r="K34" s="18">
        <v>645.14</v>
      </c>
      <c r="L34" s="18" t="s">
        <v>39</v>
      </c>
      <c r="M34" s="18" t="s">
        <v>20</v>
      </c>
    </row>
    <row r="35" spans="1:13" x14ac:dyDescent="0.35">
      <c r="A35" s="18">
        <v>1034</v>
      </c>
      <c r="B35" s="27">
        <v>46097</v>
      </c>
      <c r="C35" s="18" t="s">
        <v>43</v>
      </c>
      <c r="D35" s="18" t="s">
        <v>22</v>
      </c>
      <c r="E35" s="18" t="s">
        <v>73</v>
      </c>
      <c r="F35" s="18" t="s">
        <v>33</v>
      </c>
      <c r="G35" s="18" t="s">
        <v>34</v>
      </c>
      <c r="H35" s="18">
        <v>9</v>
      </c>
      <c r="I35" s="18">
        <v>583.97</v>
      </c>
      <c r="J35" s="18">
        <v>0.1</v>
      </c>
      <c r="K35" s="18">
        <v>4730.16</v>
      </c>
      <c r="L35" s="18" t="s">
        <v>19</v>
      </c>
      <c r="M35" s="18" t="s">
        <v>20</v>
      </c>
    </row>
    <row r="36" spans="1:13" x14ac:dyDescent="0.35">
      <c r="A36" s="18">
        <v>1035</v>
      </c>
      <c r="B36" s="27">
        <v>46144</v>
      </c>
      <c r="C36" s="18" t="s">
        <v>43</v>
      </c>
      <c r="D36" s="18" t="s">
        <v>31</v>
      </c>
      <c r="E36" s="18" t="s">
        <v>103</v>
      </c>
      <c r="F36" s="18" t="s">
        <v>17</v>
      </c>
      <c r="G36" s="18" t="s">
        <v>30</v>
      </c>
      <c r="H36" s="18">
        <v>5</v>
      </c>
      <c r="I36" s="18">
        <v>740.88</v>
      </c>
      <c r="J36" s="18">
        <v>0.1</v>
      </c>
      <c r="K36" s="18">
        <v>3333.96</v>
      </c>
      <c r="L36" s="18" t="s">
        <v>39</v>
      </c>
      <c r="M36" s="18" t="s">
        <v>26</v>
      </c>
    </row>
    <row r="37" spans="1:13" x14ac:dyDescent="0.35">
      <c r="A37" s="18">
        <v>1036</v>
      </c>
      <c r="B37" s="27">
        <v>45862</v>
      </c>
      <c r="C37" s="18" t="s">
        <v>14</v>
      </c>
      <c r="D37" s="18" t="s">
        <v>31</v>
      </c>
      <c r="E37" s="18" t="s">
        <v>99</v>
      </c>
      <c r="F37" s="18" t="s">
        <v>17</v>
      </c>
      <c r="G37" s="18" t="s">
        <v>46</v>
      </c>
      <c r="H37" s="18">
        <v>15</v>
      </c>
      <c r="I37" s="18">
        <v>523.6</v>
      </c>
      <c r="J37" s="18">
        <v>0.05</v>
      </c>
      <c r="K37" s="18">
        <v>7461.3</v>
      </c>
      <c r="L37" s="18" t="s">
        <v>35</v>
      </c>
      <c r="M37" s="18" t="s">
        <v>20</v>
      </c>
    </row>
    <row r="38" spans="1:13" x14ac:dyDescent="0.35">
      <c r="A38" s="18">
        <v>1037</v>
      </c>
      <c r="B38" s="27">
        <v>45864</v>
      </c>
      <c r="C38" s="18" t="s">
        <v>21</v>
      </c>
      <c r="D38" s="18" t="s">
        <v>28</v>
      </c>
      <c r="E38" s="18" t="s">
        <v>104</v>
      </c>
      <c r="F38" s="18" t="s">
        <v>33</v>
      </c>
      <c r="G38" s="18" t="s">
        <v>34</v>
      </c>
      <c r="H38" s="18">
        <v>12</v>
      </c>
      <c r="I38" s="18">
        <v>922.9</v>
      </c>
      <c r="J38" s="18">
        <v>0.15</v>
      </c>
      <c r="K38" s="18">
        <v>9413.58</v>
      </c>
      <c r="L38" s="18" t="s">
        <v>35</v>
      </c>
      <c r="M38" s="18" t="s">
        <v>26</v>
      </c>
    </row>
    <row r="39" spans="1:13" x14ac:dyDescent="0.35">
      <c r="A39" s="18">
        <v>1038</v>
      </c>
      <c r="B39" s="27">
        <v>45942</v>
      </c>
      <c r="C39" s="18" t="s">
        <v>14</v>
      </c>
      <c r="D39" s="18" t="s">
        <v>28</v>
      </c>
      <c r="E39" s="18" t="s">
        <v>41</v>
      </c>
      <c r="F39" s="18" t="s">
        <v>33</v>
      </c>
      <c r="G39" s="18" t="s">
        <v>61</v>
      </c>
      <c r="H39" s="18">
        <v>5</v>
      </c>
      <c r="I39" s="18">
        <v>229.27</v>
      </c>
      <c r="J39" s="18">
        <v>0.15</v>
      </c>
      <c r="K39" s="18">
        <v>974.4</v>
      </c>
      <c r="L39" s="18" t="s">
        <v>39</v>
      </c>
      <c r="M39" s="18" t="s">
        <v>20</v>
      </c>
    </row>
    <row r="40" spans="1:13" x14ac:dyDescent="0.35">
      <c r="A40" s="18">
        <v>1039</v>
      </c>
      <c r="B40" s="27">
        <v>45777</v>
      </c>
      <c r="C40" s="18" t="s">
        <v>14</v>
      </c>
      <c r="D40" s="18" t="s">
        <v>31</v>
      </c>
      <c r="E40" s="18" t="s">
        <v>70</v>
      </c>
      <c r="F40" s="18" t="s">
        <v>24</v>
      </c>
      <c r="G40" s="18" t="s">
        <v>63</v>
      </c>
      <c r="H40" s="18">
        <v>2</v>
      </c>
      <c r="I40" s="18" t="s">
        <v>181</v>
      </c>
      <c r="J40" s="18">
        <v>0.05</v>
      </c>
      <c r="K40" s="18">
        <v>2242.6999999999998</v>
      </c>
      <c r="L40" s="18" t="s">
        <v>35</v>
      </c>
      <c r="M40" s="18" t="s">
        <v>20</v>
      </c>
    </row>
    <row r="41" spans="1:13" x14ac:dyDescent="0.35">
      <c r="A41" s="18">
        <v>1040</v>
      </c>
      <c r="B41" s="27">
        <v>45939</v>
      </c>
      <c r="C41" s="18" t="s">
        <v>21</v>
      </c>
      <c r="D41" s="18" t="s">
        <v>22</v>
      </c>
      <c r="E41" s="18" t="s">
        <v>108</v>
      </c>
      <c r="F41" s="18" t="s">
        <v>24</v>
      </c>
      <c r="G41" s="18" t="s">
        <v>38</v>
      </c>
      <c r="H41" s="18">
        <v>4</v>
      </c>
      <c r="I41" s="18">
        <v>714</v>
      </c>
      <c r="J41" s="18">
        <v>0</v>
      </c>
      <c r="K41" s="18">
        <v>2856</v>
      </c>
      <c r="L41" s="18" t="s">
        <v>39</v>
      </c>
      <c r="M41" s="18" t="s">
        <v>26</v>
      </c>
    </row>
    <row r="42" spans="1:13" x14ac:dyDescent="0.35">
      <c r="A42" s="18">
        <v>1041</v>
      </c>
      <c r="B42" s="27">
        <v>46031</v>
      </c>
      <c r="C42" s="18" t="s">
        <v>27</v>
      </c>
      <c r="D42" s="18" t="s">
        <v>54</v>
      </c>
      <c r="E42" s="18" t="s">
        <v>72</v>
      </c>
      <c r="F42" s="18" t="s">
        <v>33</v>
      </c>
      <c r="G42" s="18" t="s">
        <v>53</v>
      </c>
      <c r="H42" s="18">
        <v>2</v>
      </c>
      <c r="I42" s="18">
        <v>24.82</v>
      </c>
      <c r="J42" s="18">
        <v>0.15</v>
      </c>
      <c r="K42" s="18">
        <v>42.19</v>
      </c>
      <c r="L42" s="18" t="s">
        <v>39</v>
      </c>
      <c r="M42" s="18" t="s">
        <v>26</v>
      </c>
    </row>
    <row r="43" spans="1:13" x14ac:dyDescent="0.35">
      <c r="A43" s="18">
        <v>1042</v>
      </c>
      <c r="B43" s="27">
        <v>46188</v>
      </c>
      <c r="C43" s="18" t="s">
        <v>43</v>
      </c>
      <c r="D43" s="18" t="s">
        <v>47</v>
      </c>
      <c r="E43" s="18" t="s">
        <v>87</v>
      </c>
      <c r="F43" s="18" t="s">
        <v>33</v>
      </c>
      <c r="G43" s="18" t="s">
        <v>61</v>
      </c>
      <c r="H43" s="18">
        <v>3</v>
      </c>
      <c r="I43" s="18">
        <v>698.16</v>
      </c>
      <c r="J43" s="18">
        <v>0</v>
      </c>
      <c r="K43" s="18">
        <v>2094.48</v>
      </c>
      <c r="L43" s="18" t="s">
        <v>35</v>
      </c>
      <c r="M43" s="18" t="s">
        <v>36</v>
      </c>
    </row>
    <row r="44" spans="1:13" x14ac:dyDescent="0.35">
      <c r="A44" s="18">
        <v>1043</v>
      </c>
      <c r="B44" s="27">
        <v>46145</v>
      </c>
      <c r="C44" s="18" t="s">
        <v>14</v>
      </c>
      <c r="D44" s="18" t="s">
        <v>31</v>
      </c>
      <c r="E44" s="18" t="s">
        <v>72</v>
      </c>
      <c r="F44" s="18" t="s">
        <v>24</v>
      </c>
      <c r="G44" s="18" t="s">
        <v>63</v>
      </c>
      <c r="H44" s="18">
        <v>2</v>
      </c>
      <c r="I44" s="18">
        <v>597.08000000000004</v>
      </c>
      <c r="J44" s="18">
        <v>0.15</v>
      </c>
      <c r="K44" s="18">
        <v>1015.04</v>
      </c>
      <c r="L44" s="18" t="s">
        <v>35</v>
      </c>
      <c r="M44" s="18" t="s">
        <v>36</v>
      </c>
    </row>
    <row r="45" spans="1:13" x14ac:dyDescent="0.35">
      <c r="A45" s="18">
        <v>1044</v>
      </c>
      <c r="B45" s="27">
        <v>45658</v>
      </c>
      <c r="C45" s="18" t="s">
        <v>14</v>
      </c>
      <c r="D45" s="18" t="s">
        <v>15</v>
      </c>
      <c r="E45" s="18" t="s">
        <v>16</v>
      </c>
      <c r="F45" s="18" t="s">
        <v>17</v>
      </c>
      <c r="G45" s="18" t="s">
        <v>18</v>
      </c>
      <c r="H45" s="18">
        <v>9</v>
      </c>
      <c r="I45" s="18">
        <v>335.89</v>
      </c>
      <c r="J45" s="18">
        <v>0</v>
      </c>
      <c r="K45" s="18">
        <v>3023.01</v>
      </c>
      <c r="L45" s="18" t="s">
        <v>19</v>
      </c>
      <c r="M45" s="18" t="s">
        <v>20</v>
      </c>
    </row>
    <row r="46" spans="1:13" x14ac:dyDescent="0.35">
      <c r="A46" s="18">
        <v>1045</v>
      </c>
      <c r="B46" s="27">
        <v>45872</v>
      </c>
      <c r="C46" s="18" t="s">
        <v>14</v>
      </c>
      <c r="D46" s="18" t="s">
        <v>15</v>
      </c>
      <c r="E46" s="18" t="s">
        <v>90</v>
      </c>
      <c r="F46" s="18" t="s">
        <v>17</v>
      </c>
      <c r="G46" s="18" t="s">
        <v>30</v>
      </c>
      <c r="H46" s="18">
        <v>3</v>
      </c>
      <c r="I46" s="18">
        <v>806.63</v>
      </c>
      <c r="J46" s="18">
        <v>0.15</v>
      </c>
      <c r="K46" s="18">
        <v>2056.91</v>
      </c>
      <c r="L46" s="18" t="s">
        <v>39</v>
      </c>
      <c r="M46" s="18" t="s">
        <v>36</v>
      </c>
    </row>
    <row r="47" spans="1:13" x14ac:dyDescent="0.35">
      <c r="A47" s="18">
        <v>1046</v>
      </c>
      <c r="B47" s="27">
        <v>45739</v>
      </c>
      <c r="C47" s="18" t="s">
        <v>14</v>
      </c>
      <c r="D47" s="18" t="s">
        <v>54</v>
      </c>
      <c r="E47" s="18" t="s">
        <v>77</v>
      </c>
      <c r="F47" s="18" t="s">
        <v>17</v>
      </c>
      <c r="G47" s="18" t="s">
        <v>46</v>
      </c>
      <c r="H47" s="18">
        <v>15</v>
      </c>
      <c r="I47" s="18">
        <v>24.1</v>
      </c>
      <c r="J47" s="18">
        <v>0.15</v>
      </c>
      <c r="K47" s="18">
        <v>307.27</v>
      </c>
      <c r="L47" s="18" t="s">
        <v>19</v>
      </c>
      <c r="M47" s="18" t="s">
        <v>20</v>
      </c>
    </row>
    <row r="48" spans="1:13" x14ac:dyDescent="0.35">
      <c r="A48" s="18">
        <v>1047</v>
      </c>
      <c r="B48" s="27">
        <v>45895</v>
      </c>
      <c r="C48" s="18" t="s">
        <v>21</v>
      </c>
      <c r="D48" s="18" t="s">
        <v>15</v>
      </c>
      <c r="E48" s="18" t="s">
        <v>98</v>
      </c>
      <c r="F48" s="18" t="s">
        <v>33</v>
      </c>
      <c r="G48" s="18" t="s">
        <v>34</v>
      </c>
      <c r="H48" s="18">
        <v>7</v>
      </c>
      <c r="I48" s="18">
        <v>712.82</v>
      </c>
      <c r="J48" s="18">
        <v>0.15</v>
      </c>
      <c r="K48" s="18">
        <v>4241.28</v>
      </c>
      <c r="L48" s="18" t="s">
        <v>35</v>
      </c>
      <c r="M48" s="18" t="s">
        <v>20</v>
      </c>
    </row>
    <row r="49" spans="1:13" x14ac:dyDescent="0.35">
      <c r="A49" s="18">
        <v>1048</v>
      </c>
      <c r="B49" s="27">
        <v>45769</v>
      </c>
      <c r="C49" s="18" t="s">
        <v>27</v>
      </c>
      <c r="D49" s="18" t="s">
        <v>47</v>
      </c>
      <c r="E49" s="18" t="s">
        <v>86</v>
      </c>
      <c r="F49" s="18" t="s">
        <v>33</v>
      </c>
      <c r="G49" s="18" t="s">
        <v>34</v>
      </c>
      <c r="H49" s="18">
        <v>14</v>
      </c>
      <c r="I49" s="18">
        <v>766.3</v>
      </c>
      <c r="J49" s="18">
        <v>0</v>
      </c>
      <c r="K49" s="18">
        <v>10728.2</v>
      </c>
      <c r="L49" s="18" t="s">
        <v>19</v>
      </c>
      <c r="M49" s="18" t="s">
        <v>26</v>
      </c>
    </row>
    <row r="50" spans="1:13" x14ac:dyDescent="0.35">
      <c r="A50" s="18">
        <v>1049</v>
      </c>
      <c r="B50" s="27">
        <v>46198</v>
      </c>
      <c r="C50" s="18" t="s">
        <v>14</v>
      </c>
      <c r="D50" s="18" t="s">
        <v>182</v>
      </c>
      <c r="E50" s="18" t="s">
        <v>59</v>
      </c>
      <c r="F50" s="18" t="s">
        <v>24</v>
      </c>
      <c r="G50" s="18" t="s">
        <v>63</v>
      </c>
      <c r="H50" s="18">
        <v>6</v>
      </c>
      <c r="I50" s="18">
        <v>447.58</v>
      </c>
      <c r="J50" s="18">
        <v>0.15</v>
      </c>
      <c r="K50" s="18">
        <v>2282.66</v>
      </c>
      <c r="L50" s="18" t="s">
        <v>19</v>
      </c>
      <c r="M50" s="18" t="s">
        <v>36</v>
      </c>
    </row>
    <row r="51" spans="1:13" x14ac:dyDescent="0.35">
      <c r="A51" s="18">
        <v>1050</v>
      </c>
      <c r="B51" s="27">
        <v>45742</v>
      </c>
      <c r="C51" s="18" t="s">
        <v>14</v>
      </c>
      <c r="D51" s="18" t="s">
        <v>28</v>
      </c>
      <c r="E51" s="18" t="s">
        <v>79</v>
      </c>
      <c r="F51" s="18" t="s">
        <v>24</v>
      </c>
      <c r="G51" s="18" t="s">
        <v>38</v>
      </c>
      <c r="H51" s="18">
        <v>15</v>
      </c>
      <c r="I51" s="18">
        <v>527.89</v>
      </c>
      <c r="J51" s="18">
        <v>0.1</v>
      </c>
      <c r="K51" s="18">
        <v>7126.51</v>
      </c>
      <c r="L51" s="18" t="s">
        <v>39</v>
      </c>
      <c r="M51" s="18" t="s">
        <v>26</v>
      </c>
    </row>
    <row r="52" spans="1:13" x14ac:dyDescent="0.35">
      <c r="A52" s="18">
        <v>1051</v>
      </c>
      <c r="B52" s="27">
        <v>45683</v>
      </c>
      <c r="C52" s="18" t="s">
        <v>21</v>
      </c>
      <c r="D52" s="18" t="s">
        <v>31</v>
      </c>
      <c r="E52" s="18" t="s">
        <v>51</v>
      </c>
      <c r="F52" s="18" t="s">
        <v>17</v>
      </c>
      <c r="G52" s="18" t="s">
        <v>30</v>
      </c>
      <c r="H52" s="18">
        <v>5</v>
      </c>
      <c r="I52" s="18">
        <v>30.22</v>
      </c>
      <c r="J52" s="18">
        <v>0.1</v>
      </c>
      <c r="K52" s="18">
        <v>135.99</v>
      </c>
      <c r="L52" s="18" t="s">
        <v>35</v>
      </c>
      <c r="M52" s="18" t="s">
        <v>26</v>
      </c>
    </row>
    <row r="53" spans="1:13" x14ac:dyDescent="0.35">
      <c r="A53" s="18">
        <v>1052</v>
      </c>
      <c r="B53" s="27">
        <v>45751</v>
      </c>
      <c r="C53" s="18" t="s">
        <v>21</v>
      </c>
      <c r="D53" s="18" t="s">
        <v>31</v>
      </c>
      <c r="E53" s="18" t="s">
        <v>81</v>
      </c>
      <c r="F53" s="18" t="s">
        <v>33</v>
      </c>
      <c r="G53" s="18" t="s">
        <v>53</v>
      </c>
      <c r="H53" s="18">
        <v>9</v>
      </c>
      <c r="I53" s="18">
        <v>80.95</v>
      </c>
      <c r="J53" s="18">
        <v>0</v>
      </c>
      <c r="K53" s="18">
        <v>728.55</v>
      </c>
      <c r="L53" s="18" t="s">
        <v>35</v>
      </c>
      <c r="M53" s="18" t="s">
        <v>26</v>
      </c>
    </row>
    <row r="54" spans="1:13" x14ac:dyDescent="0.35">
      <c r="A54" s="18">
        <v>1053</v>
      </c>
      <c r="B54" s="27">
        <v>46122</v>
      </c>
      <c r="C54" s="18" t="s">
        <v>14</v>
      </c>
      <c r="D54" s="18" t="s">
        <v>54</v>
      </c>
      <c r="E54" s="18" t="s">
        <v>100</v>
      </c>
      <c r="F54" s="18" t="s">
        <v>17</v>
      </c>
      <c r="G54" s="18" t="s">
        <v>46</v>
      </c>
      <c r="H54" s="18">
        <v>6</v>
      </c>
      <c r="I54" s="18">
        <v>484.51</v>
      </c>
      <c r="J54" s="18">
        <v>0.05</v>
      </c>
      <c r="K54" s="18">
        <v>2761.71</v>
      </c>
      <c r="L54" s="18" t="s">
        <v>35</v>
      </c>
      <c r="M54" s="18" t="s">
        <v>36</v>
      </c>
    </row>
    <row r="55" spans="1:13" x14ac:dyDescent="0.35">
      <c r="A55" s="18">
        <v>1054</v>
      </c>
      <c r="B55" s="27">
        <v>45791</v>
      </c>
      <c r="C55" s="18" t="s">
        <v>27</v>
      </c>
      <c r="D55" s="18" t="s">
        <v>28</v>
      </c>
      <c r="E55" s="18" t="s">
        <v>78</v>
      </c>
      <c r="F55" s="18" t="s">
        <v>24</v>
      </c>
      <c r="G55" s="18" t="s">
        <v>25</v>
      </c>
      <c r="H55" s="18">
        <v>10</v>
      </c>
      <c r="I55" s="18">
        <v>382.06</v>
      </c>
      <c r="J55" s="18">
        <v>0.05</v>
      </c>
      <c r="K55" s="18">
        <v>3629.57</v>
      </c>
      <c r="L55" s="18" t="s">
        <v>39</v>
      </c>
      <c r="M55" s="18" t="s">
        <v>36</v>
      </c>
    </row>
    <row r="56" spans="1:13" x14ac:dyDescent="0.35">
      <c r="A56" s="18">
        <v>1055</v>
      </c>
      <c r="B56" s="27">
        <v>46126</v>
      </c>
      <c r="C56" s="18" t="s">
        <v>43</v>
      </c>
      <c r="D56" s="18" t="s">
        <v>31</v>
      </c>
      <c r="E56" s="18" t="s">
        <v>55</v>
      </c>
      <c r="F56" s="18" t="s">
        <v>17</v>
      </c>
      <c r="G56" s="18" t="s">
        <v>30</v>
      </c>
      <c r="H56" s="18">
        <v>15</v>
      </c>
      <c r="I56" s="18">
        <v>684.91</v>
      </c>
      <c r="J56" s="18">
        <v>0.05</v>
      </c>
      <c r="K56" s="18">
        <v>9759.9699999999993</v>
      </c>
      <c r="L56" s="18" t="s">
        <v>19</v>
      </c>
      <c r="M56" s="18" t="s">
        <v>26</v>
      </c>
    </row>
    <row r="57" spans="1:13" x14ac:dyDescent="0.35">
      <c r="A57" s="18">
        <v>1056</v>
      </c>
      <c r="B57" s="27">
        <v>45998</v>
      </c>
      <c r="C57" s="18" t="s">
        <v>14</v>
      </c>
      <c r="D57" s="18" t="s">
        <v>28</v>
      </c>
      <c r="E57" s="18" t="s">
        <v>73</v>
      </c>
      <c r="F57" s="18" t="s">
        <v>17</v>
      </c>
      <c r="G57" s="18" t="s">
        <v>46</v>
      </c>
      <c r="H57" s="18">
        <v>8</v>
      </c>
      <c r="I57" s="18">
        <v>639.70000000000005</v>
      </c>
      <c r="J57" s="18">
        <v>0</v>
      </c>
      <c r="K57" s="18">
        <v>5117.6000000000004</v>
      </c>
      <c r="L57" s="18" t="s">
        <v>35</v>
      </c>
      <c r="M57" s="18" t="s">
        <v>20</v>
      </c>
    </row>
    <row r="58" spans="1:13" x14ac:dyDescent="0.35">
      <c r="A58" s="18">
        <v>1057</v>
      </c>
      <c r="B58" s="27">
        <v>46014</v>
      </c>
      <c r="C58" s="18" t="s">
        <v>27</v>
      </c>
      <c r="D58" s="18" t="s">
        <v>54</v>
      </c>
      <c r="E58" s="18" t="s">
        <v>44</v>
      </c>
      <c r="F58" s="18" t="s">
        <v>33</v>
      </c>
      <c r="G58" s="18" t="s">
        <v>34</v>
      </c>
      <c r="H58" s="18">
        <v>9</v>
      </c>
      <c r="I58" s="18">
        <v>43.43</v>
      </c>
      <c r="J58" s="18">
        <v>0.15</v>
      </c>
      <c r="K58" s="18">
        <v>332.24</v>
      </c>
      <c r="L58" s="18" t="s">
        <v>19</v>
      </c>
      <c r="M58" s="18" t="s">
        <v>20</v>
      </c>
    </row>
    <row r="59" spans="1:13" x14ac:dyDescent="0.35">
      <c r="A59" s="18">
        <v>1058</v>
      </c>
      <c r="B59" s="27">
        <v>45980</v>
      </c>
      <c r="C59" s="18" t="s">
        <v>27</v>
      </c>
      <c r="D59" s="18" t="s">
        <v>31</v>
      </c>
      <c r="E59" s="18" t="s">
        <v>68</v>
      </c>
      <c r="F59" s="18" t="s">
        <v>17</v>
      </c>
      <c r="G59" s="18" t="s">
        <v>30</v>
      </c>
      <c r="H59" s="18">
        <v>13</v>
      </c>
      <c r="I59" s="18">
        <v>165.44</v>
      </c>
      <c r="J59" s="18">
        <v>0.05</v>
      </c>
      <c r="K59" s="18">
        <v>2043.18</v>
      </c>
      <c r="L59" s="18" t="s">
        <v>35</v>
      </c>
      <c r="M59" s="18" t="s">
        <v>36</v>
      </c>
    </row>
    <row r="60" spans="1:13" x14ac:dyDescent="0.35">
      <c r="A60" s="18">
        <v>1059</v>
      </c>
      <c r="B60" s="27">
        <v>45694</v>
      </c>
      <c r="C60" s="18" t="s">
        <v>14</v>
      </c>
      <c r="D60" s="18" t="s">
        <v>15</v>
      </c>
      <c r="E60" s="18" t="s">
        <v>58</v>
      </c>
      <c r="F60" s="18" t="s">
        <v>17</v>
      </c>
      <c r="G60" s="18" t="s">
        <v>18</v>
      </c>
      <c r="H60" s="18">
        <v>10</v>
      </c>
      <c r="I60" s="18">
        <v>951.95</v>
      </c>
      <c r="J60" s="18">
        <v>0</v>
      </c>
      <c r="K60" s="18">
        <v>9519.5</v>
      </c>
      <c r="L60" s="18" t="s">
        <v>19</v>
      </c>
      <c r="M60" s="18" t="s">
        <v>20</v>
      </c>
    </row>
    <row r="61" spans="1:13" x14ac:dyDescent="0.35">
      <c r="A61" s="18">
        <v>1060</v>
      </c>
      <c r="B61" s="27">
        <v>45711</v>
      </c>
      <c r="C61" s="18" t="s">
        <v>21</v>
      </c>
      <c r="D61" s="18" t="s">
        <v>31</v>
      </c>
      <c r="E61" s="18" t="s">
        <v>64</v>
      </c>
      <c r="F61" s="18" t="s">
        <v>33</v>
      </c>
      <c r="G61" s="18" t="s">
        <v>34</v>
      </c>
      <c r="H61" s="18">
        <v>14</v>
      </c>
      <c r="I61" s="18">
        <v>763.63</v>
      </c>
      <c r="J61" s="18">
        <v>0</v>
      </c>
      <c r="K61" s="18">
        <v>10690.82</v>
      </c>
      <c r="L61" s="18" t="s">
        <v>35</v>
      </c>
      <c r="M61" s="18" t="s">
        <v>20</v>
      </c>
    </row>
    <row r="62" spans="1:13" x14ac:dyDescent="0.35">
      <c r="A62" s="18">
        <v>1061</v>
      </c>
      <c r="B62" s="27">
        <v>45703</v>
      </c>
      <c r="C62" s="18" t="s">
        <v>14</v>
      </c>
      <c r="D62" s="18" t="s">
        <v>15</v>
      </c>
      <c r="E62" s="18" t="s">
        <v>60</v>
      </c>
      <c r="F62" s="18" t="s">
        <v>33</v>
      </c>
      <c r="G62" s="18" t="s">
        <v>61</v>
      </c>
      <c r="H62" s="18">
        <v>5</v>
      </c>
      <c r="I62" s="18">
        <v>769.03</v>
      </c>
      <c r="J62" s="18">
        <v>0.1</v>
      </c>
      <c r="K62" s="18">
        <v>3460.63</v>
      </c>
      <c r="L62" s="18" t="s">
        <v>35</v>
      </c>
      <c r="M62" s="18" t="s">
        <v>20</v>
      </c>
    </row>
    <row r="63" spans="1:13" x14ac:dyDescent="0.35">
      <c r="A63" s="18">
        <v>1062</v>
      </c>
      <c r="B63" s="27">
        <v>45864</v>
      </c>
      <c r="C63" s="18" t="s">
        <v>43</v>
      </c>
      <c r="D63" s="18" t="s">
        <v>15</v>
      </c>
      <c r="E63" s="18" t="s">
        <v>79</v>
      </c>
      <c r="F63" s="18" t="s">
        <v>24</v>
      </c>
      <c r="G63" s="18" t="s">
        <v>38</v>
      </c>
      <c r="H63" s="18">
        <v>11</v>
      </c>
      <c r="I63" s="18">
        <v>348.91</v>
      </c>
      <c r="J63" s="18">
        <v>0.1</v>
      </c>
      <c r="K63" s="18">
        <v>3454.21</v>
      </c>
      <c r="L63" s="18" t="s">
        <v>39</v>
      </c>
      <c r="M63" s="18" t="s">
        <v>36</v>
      </c>
    </row>
    <row r="64" spans="1:13" x14ac:dyDescent="0.35">
      <c r="A64" s="18">
        <v>1063</v>
      </c>
      <c r="B64" s="27">
        <v>45764</v>
      </c>
      <c r="C64" s="18" t="s">
        <v>14</v>
      </c>
      <c r="D64" s="18" t="s">
        <v>47</v>
      </c>
      <c r="E64" s="18" t="s">
        <v>59</v>
      </c>
      <c r="F64" s="18" t="s">
        <v>24</v>
      </c>
      <c r="G64" s="18" t="s">
        <v>63</v>
      </c>
      <c r="H64" s="18">
        <v>6</v>
      </c>
      <c r="I64" s="18">
        <v>618.25</v>
      </c>
      <c r="J64" s="18">
        <v>0.1</v>
      </c>
      <c r="K64" s="18">
        <v>3338.55</v>
      </c>
      <c r="L64" s="18" t="s">
        <v>35</v>
      </c>
      <c r="M64" s="18" t="s">
        <v>20</v>
      </c>
    </row>
    <row r="65" spans="1:13" x14ac:dyDescent="0.35">
      <c r="A65" s="18">
        <v>1064</v>
      </c>
      <c r="B65" s="27">
        <v>45867</v>
      </c>
      <c r="C65" s="18" t="s">
        <v>43</v>
      </c>
      <c r="D65" s="18" t="s">
        <v>22</v>
      </c>
      <c r="E65" s="18" t="s">
        <v>98</v>
      </c>
      <c r="F65" s="18" t="s">
        <v>17</v>
      </c>
      <c r="G65" s="18" t="s">
        <v>30</v>
      </c>
      <c r="H65" s="18">
        <v>11</v>
      </c>
      <c r="I65" s="18">
        <v>270.94</v>
      </c>
      <c r="J65" s="18">
        <v>0.1</v>
      </c>
      <c r="K65" s="18">
        <v>2682.31</v>
      </c>
      <c r="L65" s="18" t="s">
        <v>19</v>
      </c>
      <c r="M65" s="18" t="s">
        <v>20</v>
      </c>
    </row>
    <row r="66" spans="1:13" x14ac:dyDescent="0.35">
      <c r="A66" s="18">
        <v>1065</v>
      </c>
      <c r="B66" s="27">
        <v>46015</v>
      </c>
      <c r="C66" s="18" t="s">
        <v>21</v>
      </c>
      <c r="D66" s="18" t="s">
        <v>31</v>
      </c>
      <c r="E66" s="18" t="s">
        <v>108</v>
      </c>
      <c r="F66" s="18" t="s">
        <v>17</v>
      </c>
      <c r="G66" s="18" t="s">
        <v>30</v>
      </c>
      <c r="H66" s="18">
        <v>13</v>
      </c>
      <c r="I66" s="18">
        <v>1000.28</v>
      </c>
      <c r="J66" s="18">
        <v>0.15</v>
      </c>
      <c r="K66" s="18">
        <v>11053.09</v>
      </c>
      <c r="L66" s="18" t="s">
        <v>39</v>
      </c>
      <c r="M66" s="18" t="s">
        <v>36</v>
      </c>
    </row>
    <row r="67" spans="1:13" x14ac:dyDescent="0.35">
      <c r="A67" s="18">
        <v>1066</v>
      </c>
      <c r="B67" s="27">
        <v>45861</v>
      </c>
      <c r="C67" s="18" t="s">
        <v>21</v>
      </c>
      <c r="D67" s="18" t="s">
        <v>31</v>
      </c>
      <c r="E67" s="18" t="s">
        <v>69</v>
      </c>
      <c r="F67" s="18" t="s">
        <v>33</v>
      </c>
      <c r="G67" s="18" t="s">
        <v>61</v>
      </c>
      <c r="H67" s="18">
        <v>4</v>
      </c>
      <c r="I67" s="18">
        <v>234.87</v>
      </c>
      <c r="J67" s="18">
        <v>0</v>
      </c>
      <c r="K67" s="18">
        <v>939.48</v>
      </c>
      <c r="L67" s="18" t="s">
        <v>19</v>
      </c>
      <c r="M67" s="18" t="s">
        <v>36</v>
      </c>
    </row>
    <row r="68" spans="1:13" x14ac:dyDescent="0.35">
      <c r="A68" s="18">
        <v>1067</v>
      </c>
      <c r="B68" s="27">
        <v>45933</v>
      </c>
      <c r="C68" s="18" t="s">
        <v>43</v>
      </c>
      <c r="D68" s="18" t="s">
        <v>22</v>
      </c>
      <c r="E68" s="18" t="s">
        <v>84</v>
      </c>
      <c r="F68" s="18" t="s">
        <v>24</v>
      </c>
      <c r="G68" s="18" t="s">
        <v>25</v>
      </c>
      <c r="H68" s="18">
        <v>7</v>
      </c>
      <c r="I68" s="18">
        <v>382.33</v>
      </c>
      <c r="J68" s="18">
        <v>0.05</v>
      </c>
      <c r="K68" s="18">
        <v>2542.4899999999998</v>
      </c>
      <c r="L68" s="18" t="s">
        <v>19</v>
      </c>
      <c r="M68" s="18" t="s">
        <v>20</v>
      </c>
    </row>
    <row r="69" spans="1:13" x14ac:dyDescent="0.35">
      <c r="A69" s="18">
        <v>1068</v>
      </c>
      <c r="B69" s="27">
        <v>45796</v>
      </c>
      <c r="C69" s="18" t="s">
        <v>14</v>
      </c>
      <c r="D69" s="18" t="s">
        <v>54</v>
      </c>
      <c r="E69" s="18" t="s">
        <v>89</v>
      </c>
      <c r="F69" s="18" t="s">
        <v>33</v>
      </c>
      <c r="G69" s="18" t="s">
        <v>61</v>
      </c>
      <c r="H69" s="18">
        <v>4</v>
      </c>
      <c r="I69" s="18">
        <v>779.99</v>
      </c>
      <c r="J69" s="18">
        <v>0.15</v>
      </c>
      <c r="K69" s="18">
        <v>2651.97</v>
      </c>
      <c r="L69" s="18" t="s">
        <v>39</v>
      </c>
      <c r="M69" s="18" t="s">
        <v>36</v>
      </c>
    </row>
    <row r="70" spans="1:13" x14ac:dyDescent="0.35">
      <c r="A70" s="18">
        <v>1069</v>
      </c>
      <c r="B70" s="27">
        <v>45674</v>
      </c>
      <c r="C70" s="18" t="s">
        <v>14</v>
      </c>
      <c r="D70" s="18" t="s">
        <v>31</v>
      </c>
      <c r="E70" s="18" t="s">
        <v>42</v>
      </c>
      <c r="F70" s="18" t="s">
        <v>17</v>
      </c>
      <c r="G70" s="18" t="s">
        <v>18</v>
      </c>
      <c r="H70" s="18">
        <v>4</v>
      </c>
      <c r="I70" s="18">
        <v>644.44000000000005</v>
      </c>
      <c r="J70" s="18">
        <v>0.05</v>
      </c>
      <c r="K70" s="18">
        <v>2448.87</v>
      </c>
      <c r="L70" s="18" t="s">
        <v>19</v>
      </c>
      <c r="M70" s="18" t="s">
        <v>26</v>
      </c>
    </row>
    <row r="71" spans="1:13" x14ac:dyDescent="0.35">
      <c r="A71" s="18">
        <v>1070</v>
      </c>
      <c r="B71" s="27">
        <v>46003</v>
      </c>
      <c r="C71" s="18" t="s">
        <v>27</v>
      </c>
      <c r="D71" s="18" t="s">
        <v>22</v>
      </c>
      <c r="E71" s="18" t="s">
        <v>116</v>
      </c>
      <c r="F71" s="18" t="s">
        <v>33</v>
      </c>
      <c r="G71" s="18" t="s">
        <v>34</v>
      </c>
      <c r="H71" s="18">
        <v>9</v>
      </c>
      <c r="I71" s="18">
        <v>543.92999999999995</v>
      </c>
      <c r="J71" s="18">
        <v>0.1</v>
      </c>
      <c r="K71" s="18">
        <v>4405.83</v>
      </c>
      <c r="L71" s="18" t="s">
        <v>19</v>
      </c>
      <c r="M71" s="18" t="s">
        <v>36</v>
      </c>
    </row>
    <row r="72" spans="1:13" x14ac:dyDescent="0.35">
      <c r="A72" s="18">
        <v>1071</v>
      </c>
      <c r="B72" s="27">
        <v>45669</v>
      </c>
      <c r="C72" s="18" t="s">
        <v>14</v>
      </c>
      <c r="D72" s="18" t="s">
        <v>31</v>
      </c>
      <c r="E72" s="18" t="s">
        <v>32</v>
      </c>
      <c r="F72" s="18" t="s">
        <v>33</v>
      </c>
      <c r="G72" s="18" t="s">
        <v>34</v>
      </c>
      <c r="H72" s="18">
        <v>8</v>
      </c>
      <c r="I72" s="18">
        <v>1086.6600000000001</v>
      </c>
      <c r="J72" s="18">
        <v>0.15</v>
      </c>
      <c r="K72" s="18">
        <v>7389.29</v>
      </c>
      <c r="L72" s="18" t="s">
        <v>35</v>
      </c>
      <c r="M72" s="18" t="s">
        <v>36</v>
      </c>
    </row>
    <row r="73" spans="1:13" x14ac:dyDescent="0.35">
      <c r="A73" s="18">
        <v>1072</v>
      </c>
      <c r="B73" s="27">
        <v>45858</v>
      </c>
      <c r="C73" s="18" t="s">
        <v>43</v>
      </c>
      <c r="D73" s="18" t="s">
        <v>22</v>
      </c>
      <c r="E73" s="18" t="s">
        <v>81</v>
      </c>
      <c r="F73" s="18" t="s">
        <v>24</v>
      </c>
      <c r="G73" s="18" t="s">
        <v>25</v>
      </c>
      <c r="H73" s="18">
        <v>2</v>
      </c>
      <c r="I73" s="18">
        <v>680.25</v>
      </c>
      <c r="J73" s="18">
        <v>0.05</v>
      </c>
      <c r="K73" s="18">
        <v>1292.47</v>
      </c>
      <c r="L73" s="18" t="s">
        <v>19</v>
      </c>
      <c r="M73" s="18" t="s">
        <v>36</v>
      </c>
    </row>
    <row r="74" spans="1:13" x14ac:dyDescent="0.35">
      <c r="A74" s="18">
        <v>1073</v>
      </c>
      <c r="B74" s="27">
        <v>45891</v>
      </c>
      <c r="C74" s="18" t="s">
        <v>43</v>
      </c>
      <c r="D74" s="18" t="s">
        <v>22</v>
      </c>
      <c r="E74" s="18" t="s">
        <v>88</v>
      </c>
      <c r="F74" s="18" t="s">
        <v>24</v>
      </c>
      <c r="G74" s="18" t="s">
        <v>25</v>
      </c>
      <c r="H74" s="18">
        <v>7</v>
      </c>
      <c r="I74" s="18">
        <v>916.63</v>
      </c>
      <c r="J74" s="18">
        <v>0.1</v>
      </c>
      <c r="K74" s="18">
        <v>5774.77</v>
      </c>
      <c r="L74" s="18" t="s">
        <v>19</v>
      </c>
      <c r="M74" s="18" t="s">
        <v>36</v>
      </c>
    </row>
    <row r="75" spans="1:13" x14ac:dyDescent="0.35">
      <c r="A75" s="18">
        <v>1074</v>
      </c>
      <c r="B75" s="27">
        <v>46141</v>
      </c>
      <c r="C75" s="18" t="s">
        <v>21</v>
      </c>
      <c r="D75" s="18" t="s">
        <v>31</v>
      </c>
      <c r="E75" s="18" t="s">
        <v>111</v>
      </c>
      <c r="F75" s="18" t="s">
        <v>24</v>
      </c>
      <c r="G75" s="18" t="s">
        <v>38</v>
      </c>
      <c r="H75" s="18">
        <v>3</v>
      </c>
      <c r="I75" s="18">
        <v>209.76</v>
      </c>
      <c r="J75" s="18">
        <v>0.1</v>
      </c>
      <c r="K75" s="18">
        <v>566.35</v>
      </c>
      <c r="L75" s="18" t="s">
        <v>39</v>
      </c>
      <c r="M75" s="18" t="s">
        <v>26</v>
      </c>
    </row>
    <row r="76" spans="1:13" x14ac:dyDescent="0.35">
      <c r="A76" s="18">
        <v>1075</v>
      </c>
      <c r="B76" s="27">
        <v>45831</v>
      </c>
      <c r="C76" s="18" t="s">
        <v>14</v>
      </c>
      <c r="D76" s="18" t="s">
        <v>47</v>
      </c>
      <c r="E76" s="18" t="s">
        <v>92</v>
      </c>
      <c r="F76" s="18" t="s">
        <v>24</v>
      </c>
      <c r="G76" s="18" t="s">
        <v>25</v>
      </c>
      <c r="H76" s="18">
        <v>1</v>
      </c>
      <c r="I76" s="18">
        <v>635.97</v>
      </c>
      <c r="J76" s="18">
        <v>0.15</v>
      </c>
      <c r="K76" s="18">
        <v>540.57000000000005</v>
      </c>
      <c r="L76" s="18" t="s">
        <v>35</v>
      </c>
      <c r="M76" s="18" t="s">
        <v>20</v>
      </c>
    </row>
    <row r="77" spans="1:13" x14ac:dyDescent="0.35">
      <c r="A77" s="18">
        <v>1076</v>
      </c>
      <c r="B77" s="27">
        <v>45968</v>
      </c>
      <c r="C77" s="18" t="s">
        <v>43</v>
      </c>
      <c r="D77" s="18" t="s">
        <v>47</v>
      </c>
      <c r="E77" s="18" t="s">
        <v>104</v>
      </c>
      <c r="F77" s="18" t="s">
        <v>24</v>
      </c>
      <c r="G77" s="18" t="s">
        <v>25</v>
      </c>
      <c r="H77" s="18">
        <v>4</v>
      </c>
      <c r="I77" s="18">
        <v>860.32</v>
      </c>
      <c r="J77" s="18">
        <v>0.05</v>
      </c>
      <c r="K77" s="18">
        <v>3269.22</v>
      </c>
      <c r="L77" s="18" t="s">
        <v>35</v>
      </c>
      <c r="M77" s="18" t="s">
        <v>36</v>
      </c>
    </row>
    <row r="78" spans="1:13" x14ac:dyDescent="0.35">
      <c r="A78" s="18">
        <v>1077</v>
      </c>
      <c r="B78" s="27">
        <v>46032</v>
      </c>
      <c r="C78" s="18" t="s">
        <v>21</v>
      </c>
      <c r="D78" s="18" t="s">
        <v>28</v>
      </c>
      <c r="E78" s="18" t="s">
        <v>118</v>
      </c>
      <c r="F78" s="18" t="s">
        <v>33</v>
      </c>
      <c r="G78" s="18" t="s">
        <v>53</v>
      </c>
      <c r="H78" s="18">
        <v>9</v>
      </c>
      <c r="I78" s="18">
        <v>819.45</v>
      </c>
      <c r="J78" s="18">
        <v>0.1</v>
      </c>
      <c r="K78" s="18">
        <v>6637.55</v>
      </c>
      <c r="L78" s="18" t="s">
        <v>39</v>
      </c>
      <c r="M78" s="18" t="s">
        <v>36</v>
      </c>
    </row>
    <row r="79" spans="1:13" x14ac:dyDescent="0.35">
      <c r="A79" s="18">
        <v>1078</v>
      </c>
      <c r="B79" s="27">
        <v>45677</v>
      </c>
      <c r="C79" s="18" t="s">
        <v>14</v>
      </c>
      <c r="D79" s="18" t="s">
        <v>22</v>
      </c>
      <c r="E79" s="18" t="s">
        <v>45</v>
      </c>
      <c r="F79" s="18" t="s">
        <v>17</v>
      </c>
      <c r="G79" s="18" t="s">
        <v>46</v>
      </c>
      <c r="H79" s="18">
        <v>13</v>
      </c>
      <c r="I79" s="18">
        <v>56.99</v>
      </c>
      <c r="J79" s="18">
        <v>0.1</v>
      </c>
      <c r="K79" s="18">
        <v>666.78</v>
      </c>
      <c r="L79" s="18" t="s">
        <v>19</v>
      </c>
      <c r="M79" s="18" t="s">
        <v>26</v>
      </c>
    </row>
    <row r="80" spans="1:13" x14ac:dyDescent="0.35">
      <c r="A80" s="18">
        <v>1079</v>
      </c>
      <c r="B80" s="27">
        <v>46061</v>
      </c>
      <c r="C80" s="18" t="s">
        <v>21</v>
      </c>
      <c r="D80" s="18" t="s">
        <v>47</v>
      </c>
      <c r="E80" s="18" t="s">
        <v>120</v>
      </c>
      <c r="F80" s="18" t="s">
        <v>33</v>
      </c>
      <c r="G80" s="18" t="s">
        <v>34</v>
      </c>
      <c r="H80" s="18">
        <v>2</v>
      </c>
      <c r="I80" s="18">
        <v>602.16</v>
      </c>
      <c r="J80" s="18">
        <v>0.1</v>
      </c>
      <c r="K80" s="18">
        <v>1083.8900000000001</v>
      </c>
      <c r="L80" s="18" t="s">
        <v>39</v>
      </c>
      <c r="M80" s="18" t="s">
        <v>20</v>
      </c>
    </row>
    <row r="81" spans="1:13" x14ac:dyDescent="0.35">
      <c r="A81" s="18">
        <v>1080</v>
      </c>
      <c r="B81" s="27">
        <v>45757</v>
      </c>
      <c r="C81" s="18" t="s">
        <v>14</v>
      </c>
      <c r="D81" s="18" t="s">
        <v>54</v>
      </c>
      <c r="E81" s="18" t="s">
        <v>82</v>
      </c>
      <c r="F81" s="18" t="s">
        <v>33</v>
      </c>
      <c r="G81" s="18" t="s">
        <v>61</v>
      </c>
      <c r="H81" s="18">
        <v>15</v>
      </c>
      <c r="I81" s="18">
        <v>507.31</v>
      </c>
      <c r="J81" s="18">
        <v>0.1</v>
      </c>
      <c r="K81" s="18">
        <v>6848.68</v>
      </c>
      <c r="L81" s="18" t="s">
        <v>35</v>
      </c>
      <c r="M81" s="18" t="s">
        <v>26</v>
      </c>
    </row>
    <row r="82" spans="1:13" x14ac:dyDescent="0.35">
      <c r="A82" s="18">
        <v>1081</v>
      </c>
      <c r="B82" s="27">
        <v>46094</v>
      </c>
      <c r="C82" s="18" t="s">
        <v>21</v>
      </c>
      <c r="D82" s="18" t="s">
        <v>22</v>
      </c>
      <c r="E82" s="18" t="s">
        <v>122</v>
      </c>
      <c r="F82" s="18" t="s">
        <v>33</v>
      </c>
      <c r="G82" s="18" t="s">
        <v>34</v>
      </c>
      <c r="H82" s="18">
        <v>13</v>
      </c>
      <c r="I82" s="18">
        <v>775.95</v>
      </c>
      <c r="J82" s="18">
        <v>0</v>
      </c>
      <c r="K82" s="18">
        <v>10087.35</v>
      </c>
      <c r="L82" s="18" t="s">
        <v>35</v>
      </c>
      <c r="M82" s="18" t="s">
        <v>26</v>
      </c>
    </row>
    <row r="83" spans="1:13" x14ac:dyDescent="0.35">
      <c r="A83" s="18">
        <v>1082</v>
      </c>
      <c r="B83" s="27">
        <v>45964</v>
      </c>
      <c r="C83" s="18" t="s">
        <v>43</v>
      </c>
      <c r="D83" s="18" t="s">
        <v>28</v>
      </c>
      <c r="E83" s="18" t="s">
        <v>90</v>
      </c>
      <c r="F83" s="18" t="s">
        <v>24</v>
      </c>
      <c r="G83" s="18" t="s">
        <v>63</v>
      </c>
      <c r="H83" s="18">
        <v>15</v>
      </c>
      <c r="I83" s="18">
        <v>515.29</v>
      </c>
      <c r="J83" s="18">
        <v>0.15</v>
      </c>
      <c r="K83" s="18">
        <v>6569.95</v>
      </c>
      <c r="L83" s="18" t="s">
        <v>35</v>
      </c>
      <c r="M83" s="18" t="s">
        <v>36</v>
      </c>
    </row>
    <row r="84" spans="1:13" x14ac:dyDescent="0.35">
      <c r="A84" s="18">
        <v>1083</v>
      </c>
      <c r="B84" s="27">
        <v>46187</v>
      </c>
      <c r="C84" s="18" t="s">
        <v>27</v>
      </c>
      <c r="D84" s="18" t="s">
        <v>15</v>
      </c>
      <c r="E84" s="18" t="s">
        <v>102</v>
      </c>
      <c r="F84" s="18" t="s">
        <v>24</v>
      </c>
      <c r="G84" s="18" t="s">
        <v>25</v>
      </c>
      <c r="H84" s="18">
        <v>10</v>
      </c>
      <c r="I84" s="18">
        <v>40.25</v>
      </c>
      <c r="J84" s="18">
        <v>0.15</v>
      </c>
      <c r="K84" s="18">
        <v>342.12</v>
      </c>
      <c r="L84" s="18" t="s">
        <v>35</v>
      </c>
      <c r="M84" s="18" t="s">
        <v>20</v>
      </c>
    </row>
    <row r="85" spans="1:13" x14ac:dyDescent="0.35">
      <c r="A85" s="18">
        <v>1084</v>
      </c>
      <c r="B85" s="27">
        <v>46075</v>
      </c>
      <c r="C85" s="18" t="s">
        <v>27</v>
      </c>
      <c r="D85" s="18" t="s">
        <v>28</v>
      </c>
      <c r="E85" s="18" t="s">
        <v>84</v>
      </c>
      <c r="F85" s="18" t="s">
        <v>17</v>
      </c>
      <c r="G85" s="18" t="s">
        <v>30</v>
      </c>
      <c r="H85" s="18">
        <v>4</v>
      </c>
      <c r="I85" s="18">
        <v>1025.3</v>
      </c>
      <c r="J85" s="18">
        <v>0</v>
      </c>
      <c r="K85" s="18">
        <v>4101.2</v>
      </c>
      <c r="L85" s="18" t="s">
        <v>39</v>
      </c>
      <c r="M85" s="18" t="s">
        <v>36</v>
      </c>
    </row>
    <row r="86" spans="1:13" x14ac:dyDescent="0.35">
      <c r="A86" s="18">
        <v>1085</v>
      </c>
      <c r="B86" s="27">
        <v>45911</v>
      </c>
      <c r="C86" s="18" t="s">
        <v>21</v>
      </c>
      <c r="D86" s="18" t="s">
        <v>22</v>
      </c>
      <c r="E86" s="18" t="s">
        <v>109</v>
      </c>
      <c r="F86" s="18" t="s">
        <v>17</v>
      </c>
      <c r="G86" s="18" t="s">
        <v>18</v>
      </c>
      <c r="H86" s="18">
        <v>15</v>
      </c>
      <c r="I86" s="18">
        <v>1020.31</v>
      </c>
      <c r="J86" s="18">
        <v>0.15</v>
      </c>
      <c r="K86" s="18">
        <v>13008.95</v>
      </c>
      <c r="L86" s="18" t="s">
        <v>19</v>
      </c>
      <c r="M86" s="18" t="s">
        <v>36</v>
      </c>
    </row>
    <row r="87" spans="1:13" x14ac:dyDescent="0.35">
      <c r="A87" s="18">
        <v>1086</v>
      </c>
      <c r="B87" s="27">
        <v>45857</v>
      </c>
      <c r="C87" s="18" t="s">
        <v>27</v>
      </c>
      <c r="D87" s="18" t="s">
        <v>15</v>
      </c>
      <c r="E87" s="18" t="s">
        <v>77</v>
      </c>
      <c r="F87" s="18" t="s">
        <v>17</v>
      </c>
      <c r="G87" s="18" t="s">
        <v>18</v>
      </c>
      <c r="H87" s="18">
        <v>13</v>
      </c>
      <c r="I87" s="18">
        <v>1182.2</v>
      </c>
      <c r="J87" s="18">
        <v>0.15</v>
      </c>
      <c r="K87" s="18">
        <v>13063.31</v>
      </c>
      <c r="L87" s="18" t="s">
        <v>39</v>
      </c>
      <c r="M87" s="18" t="s">
        <v>26</v>
      </c>
    </row>
    <row r="88" spans="1:13" x14ac:dyDescent="0.35">
      <c r="A88" s="18">
        <v>1087</v>
      </c>
      <c r="B88" s="27">
        <v>46081</v>
      </c>
      <c r="C88" s="18" t="s">
        <v>14</v>
      </c>
      <c r="D88" s="18" t="s">
        <v>47</v>
      </c>
      <c r="E88" s="18" t="s">
        <v>44</v>
      </c>
      <c r="F88" s="18" t="s">
        <v>24</v>
      </c>
      <c r="G88" s="18" t="s">
        <v>63</v>
      </c>
      <c r="H88" s="18">
        <v>4</v>
      </c>
      <c r="I88" s="18">
        <v>611.70000000000005</v>
      </c>
      <c r="J88" s="18">
        <v>0.1</v>
      </c>
      <c r="K88" s="18">
        <v>2202.12</v>
      </c>
      <c r="L88" s="18" t="s">
        <v>39</v>
      </c>
      <c r="M88" s="18" t="s">
        <v>36</v>
      </c>
    </row>
    <row r="89" spans="1:13" x14ac:dyDescent="0.35">
      <c r="A89" s="18">
        <v>1088</v>
      </c>
      <c r="B89" s="27">
        <v>45765</v>
      </c>
      <c r="C89" s="18" t="s">
        <v>27</v>
      </c>
      <c r="D89" s="18" t="s">
        <v>54</v>
      </c>
      <c r="E89" s="18" t="s">
        <v>50</v>
      </c>
      <c r="F89" s="18" t="s">
        <v>24</v>
      </c>
      <c r="G89" s="18" t="s">
        <v>38</v>
      </c>
      <c r="H89" s="18">
        <v>11</v>
      </c>
      <c r="I89" s="18">
        <v>966.5</v>
      </c>
      <c r="J89" s="18">
        <v>0</v>
      </c>
      <c r="K89" s="18">
        <v>10631.5</v>
      </c>
      <c r="L89" s="18" t="s">
        <v>19</v>
      </c>
      <c r="M89" s="18" t="s">
        <v>20</v>
      </c>
    </row>
    <row r="90" spans="1:13" x14ac:dyDescent="0.35">
      <c r="A90" s="18">
        <v>1089</v>
      </c>
      <c r="B90" s="27">
        <v>45975</v>
      </c>
      <c r="C90" s="18" t="s">
        <v>43</v>
      </c>
      <c r="D90" s="18" t="s">
        <v>22</v>
      </c>
      <c r="E90" s="18" t="s">
        <v>89</v>
      </c>
      <c r="F90" s="18" t="s">
        <v>17</v>
      </c>
      <c r="G90" s="18" t="s">
        <v>30</v>
      </c>
      <c r="H90" s="18">
        <v>7</v>
      </c>
      <c r="I90" s="18">
        <v>1167.5899999999999</v>
      </c>
      <c r="J90" s="18">
        <v>0</v>
      </c>
      <c r="K90" s="18">
        <v>8173.13</v>
      </c>
      <c r="L90" s="18" t="s">
        <v>19</v>
      </c>
      <c r="M90" s="18" t="s">
        <v>36</v>
      </c>
    </row>
    <row r="91" spans="1:13" x14ac:dyDescent="0.35">
      <c r="A91" s="18">
        <v>1090</v>
      </c>
      <c r="B91" s="27">
        <v>45675</v>
      </c>
      <c r="C91" s="18" t="s">
        <v>43</v>
      </c>
      <c r="D91" s="18" t="s">
        <v>15</v>
      </c>
      <c r="E91" s="18" t="s">
        <v>44</v>
      </c>
      <c r="F91" s="18" t="s">
        <v>33</v>
      </c>
      <c r="G91" s="18" t="s">
        <v>34</v>
      </c>
      <c r="H91" s="18">
        <v>9</v>
      </c>
      <c r="I91" s="18">
        <v>113.96</v>
      </c>
      <c r="J91" s="18">
        <v>0.05</v>
      </c>
      <c r="K91" s="18">
        <v>974.36</v>
      </c>
      <c r="L91" s="18" t="s">
        <v>19</v>
      </c>
      <c r="M91" s="18" t="s">
        <v>36</v>
      </c>
    </row>
    <row r="92" spans="1:13" x14ac:dyDescent="0.35">
      <c r="A92" s="18">
        <v>1091</v>
      </c>
      <c r="B92" s="27">
        <v>45842</v>
      </c>
      <c r="C92" s="18" t="s">
        <v>43</v>
      </c>
      <c r="D92" s="18" t="s">
        <v>54</v>
      </c>
      <c r="E92" s="18" t="s">
        <v>102</v>
      </c>
      <c r="F92" s="18" t="s">
        <v>17</v>
      </c>
      <c r="G92" s="18" t="s">
        <v>46</v>
      </c>
      <c r="H92" s="18">
        <v>10</v>
      </c>
      <c r="I92" s="18">
        <v>217.83</v>
      </c>
      <c r="J92" s="18">
        <v>0.05</v>
      </c>
      <c r="K92" s="18">
        <v>2069.39</v>
      </c>
      <c r="L92" s="18" t="s">
        <v>39</v>
      </c>
      <c r="M92" s="18" t="s">
        <v>20</v>
      </c>
    </row>
    <row r="93" spans="1:13" x14ac:dyDescent="0.35">
      <c r="A93" s="18">
        <v>1092</v>
      </c>
      <c r="B93" s="27">
        <v>46083</v>
      </c>
      <c r="C93" s="18" t="s">
        <v>14</v>
      </c>
      <c r="D93" s="18" t="s">
        <v>15</v>
      </c>
      <c r="E93" s="18" t="s">
        <v>103</v>
      </c>
      <c r="F93" s="18" t="s">
        <v>17</v>
      </c>
      <c r="G93" s="18" t="s">
        <v>18</v>
      </c>
      <c r="H93" s="18">
        <v>14</v>
      </c>
      <c r="I93" s="18">
        <v>1177.07</v>
      </c>
      <c r="J93" s="18">
        <v>0.1</v>
      </c>
      <c r="K93" s="18">
        <v>14831.08</v>
      </c>
      <c r="L93" s="18" t="s">
        <v>19</v>
      </c>
      <c r="M93" s="18" t="s">
        <v>26</v>
      </c>
    </row>
    <row r="94" spans="1:13" x14ac:dyDescent="0.35">
      <c r="A94" s="18">
        <v>1093</v>
      </c>
      <c r="B94" s="27">
        <v>45821</v>
      </c>
      <c r="C94" s="18" t="s">
        <v>43</v>
      </c>
      <c r="D94" s="18" t="s">
        <v>47</v>
      </c>
      <c r="E94" s="18" t="s">
        <v>97</v>
      </c>
      <c r="F94" s="18" t="s">
        <v>17</v>
      </c>
      <c r="G94" s="18" t="s">
        <v>30</v>
      </c>
      <c r="H94" s="18">
        <v>8</v>
      </c>
      <c r="I94" s="18">
        <v>1154.5999999999999</v>
      </c>
      <c r="J94" s="18">
        <v>0</v>
      </c>
      <c r="K94" s="18">
        <v>9236.7999999999993</v>
      </c>
      <c r="L94" s="18" t="s">
        <v>19</v>
      </c>
      <c r="M94" s="18" t="s">
        <v>36</v>
      </c>
    </row>
    <row r="95" spans="1:13" x14ac:dyDescent="0.35">
      <c r="A95" s="18">
        <v>1094</v>
      </c>
      <c r="B95" s="27">
        <v>46011</v>
      </c>
      <c r="C95" s="18" t="s">
        <v>21</v>
      </c>
      <c r="D95" s="18" t="s">
        <v>28</v>
      </c>
      <c r="E95" s="18" t="s">
        <v>84</v>
      </c>
      <c r="F95" s="18" t="s">
        <v>24</v>
      </c>
      <c r="G95" s="18" t="s">
        <v>38</v>
      </c>
      <c r="H95" s="18">
        <v>14</v>
      </c>
      <c r="I95" s="18">
        <v>587.35</v>
      </c>
      <c r="J95" s="18">
        <v>0.05</v>
      </c>
      <c r="K95" s="18">
        <v>7811.75</v>
      </c>
      <c r="L95" s="18" t="s">
        <v>39</v>
      </c>
      <c r="M95" s="18" t="s">
        <v>26</v>
      </c>
    </row>
    <row r="96" spans="1:13" x14ac:dyDescent="0.35">
      <c r="A96" s="18">
        <v>1095</v>
      </c>
      <c r="B96" s="27">
        <v>45738</v>
      </c>
      <c r="C96" s="18" t="s">
        <v>27</v>
      </c>
      <c r="D96" s="18" t="s">
        <v>15</v>
      </c>
      <c r="E96" s="18" t="s">
        <v>76</v>
      </c>
      <c r="F96" s="18" t="s">
        <v>17</v>
      </c>
      <c r="G96" s="18" t="s">
        <v>18</v>
      </c>
      <c r="H96" s="18">
        <v>10</v>
      </c>
      <c r="I96" s="18">
        <v>997.84</v>
      </c>
      <c r="J96" s="18">
        <v>0</v>
      </c>
      <c r="K96" s="18">
        <v>9978.4</v>
      </c>
      <c r="L96" s="18" t="s">
        <v>35</v>
      </c>
      <c r="M96" s="18" t="s">
        <v>20</v>
      </c>
    </row>
    <row r="97" spans="1:13" x14ac:dyDescent="0.35">
      <c r="A97" s="18">
        <v>1096</v>
      </c>
      <c r="B97" s="27">
        <v>45747</v>
      </c>
      <c r="C97" s="18" t="s">
        <v>21</v>
      </c>
      <c r="D97" s="18" t="s">
        <v>15</v>
      </c>
      <c r="E97" s="18" t="s">
        <v>77</v>
      </c>
      <c r="F97" s="18" t="s">
        <v>33</v>
      </c>
      <c r="G97" s="18" t="s">
        <v>53</v>
      </c>
      <c r="H97" s="18">
        <v>9</v>
      </c>
      <c r="I97" s="18">
        <v>60.43</v>
      </c>
      <c r="J97" s="18">
        <v>0.15</v>
      </c>
      <c r="K97" s="18">
        <v>462.29</v>
      </c>
      <c r="L97" s="18" t="s">
        <v>35</v>
      </c>
      <c r="M97" s="18" t="s">
        <v>26</v>
      </c>
    </row>
    <row r="98" spans="1:13" x14ac:dyDescent="0.35">
      <c r="A98" s="18">
        <v>1097</v>
      </c>
      <c r="B98" s="27">
        <v>46025</v>
      </c>
      <c r="C98" s="18" t="s">
        <v>43</v>
      </c>
      <c r="D98" s="18" t="s">
        <v>15</v>
      </c>
      <c r="E98" s="18" t="s">
        <v>80</v>
      </c>
      <c r="F98" s="18" t="s">
        <v>17</v>
      </c>
      <c r="G98" s="18" t="s">
        <v>18</v>
      </c>
      <c r="H98" s="18">
        <v>5</v>
      </c>
      <c r="I98" s="18">
        <v>816.74</v>
      </c>
      <c r="J98" s="18">
        <v>0.1</v>
      </c>
      <c r="K98" s="18">
        <v>3675.33</v>
      </c>
      <c r="L98" s="18" t="s">
        <v>19</v>
      </c>
      <c r="M98" s="18" t="s">
        <v>36</v>
      </c>
    </row>
    <row r="99" spans="1:13" x14ac:dyDescent="0.35">
      <c r="A99" s="18">
        <v>1098</v>
      </c>
      <c r="B99" s="27">
        <v>45781</v>
      </c>
      <c r="C99" s="18" t="s">
        <v>27</v>
      </c>
      <c r="D99" s="18" t="s">
        <v>15</v>
      </c>
      <c r="E99" s="18" t="s">
        <v>88</v>
      </c>
      <c r="F99" s="18" t="s">
        <v>17</v>
      </c>
      <c r="G99" s="18" t="s">
        <v>18</v>
      </c>
      <c r="H99" s="18">
        <v>2</v>
      </c>
      <c r="I99" s="18">
        <v>701.36</v>
      </c>
      <c r="J99" s="18">
        <v>0.1</v>
      </c>
      <c r="K99" s="18">
        <v>1262.45</v>
      </c>
      <c r="L99" s="18" t="s">
        <v>19</v>
      </c>
      <c r="M99" s="18" t="s">
        <v>20</v>
      </c>
    </row>
    <row r="100" spans="1:13" x14ac:dyDescent="0.35">
      <c r="A100" s="18">
        <v>1099</v>
      </c>
      <c r="B100" s="27">
        <v>45823</v>
      </c>
      <c r="C100" s="18" t="s">
        <v>14</v>
      </c>
      <c r="D100" s="18" t="s">
        <v>22</v>
      </c>
      <c r="E100" s="18" t="s">
        <v>99</v>
      </c>
      <c r="F100" s="18" t="s">
        <v>17</v>
      </c>
      <c r="G100" s="18" t="s">
        <v>30</v>
      </c>
      <c r="H100" s="18">
        <v>11</v>
      </c>
      <c r="I100" s="18">
        <v>1175.1300000000001</v>
      </c>
      <c r="J100" s="18">
        <v>0.1</v>
      </c>
      <c r="K100" s="18">
        <v>11633.79</v>
      </c>
      <c r="L100" s="18" t="s">
        <v>35</v>
      </c>
      <c r="M100" s="18" t="s">
        <v>26</v>
      </c>
    </row>
    <row r="101" spans="1:13" x14ac:dyDescent="0.35">
      <c r="A101" s="18">
        <v>1100</v>
      </c>
      <c r="B101" s="27">
        <v>45739</v>
      </c>
      <c r="C101" s="18" t="s">
        <v>43</v>
      </c>
      <c r="D101" s="18" t="s">
        <v>15</v>
      </c>
      <c r="E101" s="18" t="s">
        <v>78</v>
      </c>
      <c r="F101" s="18" t="s">
        <v>17</v>
      </c>
      <c r="G101" s="18" t="s">
        <v>30</v>
      </c>
      <c r="H101" s="18">
        <v>12</v>
      </c>
      <c r="I101" s="18">
        <v>275.45</v>
      </c>
      <c r="J101" s="18">
        <v>0</v>
      </c>
      <c r="K101" s="18">
        <v>3305.4</v>
      </c>
      <c r="L101" s="18" t="s">
        <v>35</v>
      </c>
      <c r="M101" s="18" t="s">
        <v>26</v>
      </c>
    </row>
    <row r="102" spans="1:13" x14ac:dyDescent="0.35">
      <c r="A102" s="18">
        <v>1101</v>
      </c>
      <c r="B102" s="27">
        <v>45759</v>
      </c>
      <c r="C102" s="18" t="s">
        <v>43</v>
      </c>
      <c r="D102" s="18" t="s">
        <v>31</v>
      </c>
      <c r="E102" s="18" t="s">
        <v>83</v>
      </c>
      <c r="F102" s="18" t="s">
        <v>17</v>
      </c>
      <c r="G102" s="18" t="s">
        <v>46</v>
      </c>
      <c r="H102" s="18">
        <v>14</v>
      </c>
      <c r="I102" s="18">
        <v>397.49</v>
      </c>
      <c r="J102" s="18">
        <v>0.1</v>
      </c>
      <c r="K102" s="18">
        <v>5008.37</v>
      </c>
      <c r="L102" s="18" t="s">
        <v>39</v>
      </c>
      <c r="M102" s="18" t="s">
        <v>26</v>
      </c>
    </row>
    <row r="103" spans="1:13" x14ac:dyDescent="0.35">
      <c r="A103" s="18">
        <v>1102</v>
      </c>
      <c r="B103" s="27">
        <v>45745</v>
      </c>
      <c r="C103" s="18" t="s">
        <v>43</v>
      </c>
      <c r="D103" s="18" t="s">
        <v>28</v>
      </c>
      <c r="E103" s="18" t="s">
        <v>49</v>
      </c>
      <c r="F103" s="18" t="s">
        <v>33</v>
      </c>
      <c r="G103" s="18" t="s">
        <v>34</v>
      </c>
      <c r="H103" s="18">
        <v>5</v>
      </c>
      <c r="I103" s="18">
        <v>129.84</v>
      </c>
      <c r="J103" s="18">
        <v>0.05</v>
      </c>
      <c r="K103" s="18">
        <v>616.74</v>
      </c>
      <c r="L103" s="18" t="s">
        <v>39</v>
      </c>
      <c r="M103" s="18" t="s">
        <v>26</v>
      </c>
    </row>
    <row r="104" spans="1:13" x14ac:dyDescent="0.35">
      <c r="A104" s="18">
        <v>1103</v>
      </c>
      <c r="B104" s="27">
        <v>46070</v>
      </c>
      <c r="C104" s="18" t="s">
        <v>43</v>
      </c>
      <c r="D104" s="18" t="s">
        <v>28</v>
      </c>
      <c r="E104" s="18" t="s">
        <v>62</v>
      </c>
      <c r="F104" s="18" t="s">
        <v>33</v>
      </c>
      <c r="G104" s="18" t="s">
        <v>61</v>
      </c>
      <c r="H104" s="18">
        <v>11</v>
      </c>
      <c r="I104" s="18">
        <v>414.53</v>
      </c>
      <c r="J104" s="18">
        <v>0.1</v>
      </c>
      <c r="K104" s="18">
        <v>4103.8500000000004</v>
      </c>
      <c r="L104" s="18" t="s">
        <v>19</v>
      </c>
      <c r="M104" s="18" t="s">
        <v>26</v>
      </c>
    </row>
    <row r="105" spans="1:13" x14ac:dyDescent="0.35">
      <c r="A105" s="18">
        <v>1104</v>
      </c>
      <c r="B105" s="27">
        <v>45822</v>
      </c>
      <c r="C105" s="18" t="s">
        <v>43</v>
      </c>
      <c r="D105" s="18" t="s">
        <v>15</v>
      </c>
      <c r="E105" s="18" t="s">
        <v>98</v>
      </c>
      <c r="F105" s="18" t="s">
        <v>24</v>
      </c>
      <c r="G105" s="18" t="s">
        <v>25</v>
      </c>
      <c r="H105" s="18">
        <v>11</v>
      </c>
      <c r="I105" s="18">
        <v>440.47</v>
      </c>
      <c r="J105" s="18">
        <v>0</v>
      </c>
      <c r="K105" s="18">
        <v>4845.17</v>
      </c>
      <c r="L105" s="18" t="s">
        <v>19</v>
      </c>
      <c r="M105" s="18" t="s">
        <v>20</v>
      </c>
    </row>
    <row r="106" spans="1:13" x14ac:dyDescent="0.35">
      <c r="A106" s="18">
        <v>1105</v>
      </c>
      <c r="B106" s="27">
        <v>45940</v>
      </c>
      <c r="C106" s="18" t="s">
        <v>14</v>
      </c>
      <c r="D106" s="18" t="s">
        <v>15</v>
      </c>
      <c r="E106" s="18" t="s">
        <v>88</v>
      </c>
      <c r="F106" s="18" t="s">
        <v>33</v>
      </c>
      <c r="G106" s="18" t="s">
        <v>61</v>
      </c>
      <c r="H106" s="18">
        <v>13</v>
      </c>
      <c r="I106" s="18">
        <v>778.87</v>
      </c>
      <c r="J106" s="18">
        <v>0.05</v>
      </c>
      <c r="K106" s="18">
        <v>9619.0400000000009</v>
      </c>
      <c r="L106" s="18" t="s">
        <v>19</v>
      </c>
      <c r="M106" s="18" t="s">
        <v>20</v>
      </c>
    </row>
    <row r="107" spans="1:13" x14ac:dyDescent="0.35">
      <c r="A107" s="18">
        <v>1106</v>
      </c>
      <c r="B107" s="27">
        <v>46196</v>
      </c>
      <c r="C107" s="18" t="s">
        <v>43</v>
      </c>
      <c r="D107" s="18" t="s">
        <v>15</v>
      </c>
      <c r="E107" s="18" t="s">
        <v>85</v>
      </c>
      <c r="F107" s="18" t="s">
        <v>24</v>
      </c>
      <c r="G107" s="18" t="s">
        <v>25</v>
      </c>
      <c r="H107" s="18">
        <v>15</v>
      </c>
      <c r="I107" s="18">
        <v>564.28</v>
      </c>
      <c r="J107" s="18">
        <v>0</v>
      </c>
      <c r="K107" s="18">
        <v>8464.2000000000007</v>
      </c>
      <c r="L107" s="18" t="s">
        <v>35</v>
      </c>
      <c r="M107" s="18" t="s">
        <v>36</v>
      </c>
    </row>
    <row r="108" spans="1:13" x14ac:dyDescent="0.35">
      <c r="A108" s="18">
        <v>1107</v>
      </c>
      <c r="B108" s="27">
        <v>45757</v>
      </c>
      <c r="C108" s="18" t="s">
        <v>43</v>
      </c>
      <c r="D108" s="18" t="s">
        <v>47</v>
      </c>
      <c r="E108" s="18" t="s">
        <v>16</v>
      </c>
      <c r="F108" s="18" t="s">
        <v>33</v>
      </c>
      <c r="G108" s="18" t="s">
        <v>34</v>
      </c>
      <c r="H108" s="18">
        <v>8</v>
      </c>
      <c r="I108" s="18">
        <v>671.23</v>
      </c>
      <c r="J108" s="18">
        <v>0.1</v>
      </c>
      <c r="K108" s="18">
        <v>4832.8599999999997</v>
      </c>
      <c r="L108" s="18" t="s">
        <v>19</v>
      </c>
      <c r="M108" s="18" t="s">
        <v>36</v>
      </c>
    </row>
    <row r="109" spans="1:13" x14ac:dyDescent="0.35">
      <c r="A109" s="18">
        <v>1108</v>
      </c>
      <c r="B109" s="27">
        <v>45849</v>
      </c>
      <c r="C109" s="18" t="s">
        <v>14</v>
      </c>
      <c r="D109" s="18" t="s">
        <v>54</v>
      </c>
      <c r="E109" s="18" t="s">
        <v>100</v>
      </c>
      <c r="F109" s="18" t="s">
        <v>17</v>
      </c>
      <c r="G109" s="18" t="s">
        <v>18</v>
      </c>
      <c r="H109" s="18">
        <v>6</v>
      </c>
      <c r="I109" s="18">
        <v>218.18</v>
      </c>
      <c r="J109" s="18">
        <v>0.05</v>
      </c>
      <c r="K109" s="18">
        <v>1243.6300000000001</v>
      </c>
      <c r="L109" s="18" t="s">
        <v>19</v>
      </c>
      <c r="M109" s="18" t="s">
        <v>26</v>
      </c>
    </row>
    <row r="110" spans="1:13" x14ac:dyDescent="0.35">
      <c r="A110" s="18">
        <v>1109</v>
      </c>
      <c r="B110" s="27">
        <v>45809</v>
      </c>
      <c r="C110" s="18" t="s">
        <v>21</v>
      </c>
      <c r="D110" s="18" t="s">
        <v>15</v>
      </c>
      <c r="E110" s="18" t="s">
        <v>82</v>
      </c>
      <c r="F110" s="18" t="s">
        <v>24</v>
      </c>
      <c r="G110" s="18" t="s">
        <v>63</v>
      </c>
      <c r="H110" s="18">
        <v>8</v>
      </c>
      <c r="I110" s="18">
        <v>1154.1199999999999</v>
      </c>
      <c r="J110" s="18">
        <v>0.1</v>
      </c>
      <c r="K110" s="18">
        <v>8309.66</v>
      </c>
      <c r="L110" s="18" t="s">
        <v>19</v>
      </c>
      <c r="M110" s="18" t="s">
        <v>26</v>
      </c>
    </row>
    <row r="111" spans="1:13" x14ac:dyDescent="0.35">
      <c r="A111" s="18">
        <v>1110</v>
      </c>
      <c r="B111" s="27">
        <v>46115</v>
      </c>
      <c r="C111" s="18" t="s">
        <v>14</v>
      </c>
      <c r="D111" s="18" t="s">
        <v>47</v>
      </c>
      <c r="E111" s="18" t="s">
        <v>108</v>
      </c>
      <c r="F111" s="18" t="s">
        <v>24</v>
      </c>
      <c r="G111" s="18" t="s">
        <v>25</v>
      </c>
      <c r="H111" s="18">
        <v>2</v>
      </c>
      <c r="I111" s="18">
        <v>461.73</v>
      </c>
      <c r="J111" s="18">
        <v>0.05</v>
      </c>
      <c r="K111" s="18">
        <v>877.29</v>
      </c>
      <c r="L111" s="18" t="s">
        <v>35</v>
      </c>
      <c r="M111" s="18" t="s">
        <v>36</v>
      </c>
    </row>
    <row r="112" spans="1:13" x14ac:dyDescent="0.35">
      <c r="A112" s="18">
        <v>1111</v>
      </c>
      <c r="B112" s="27">
        <v>45876</v>
      </c>
      <c r="C112" s="18" t="s">
        <v>21</v>
      </c>
      <c r="D112" s="18" t="s">
        <v>22</v>
      </c>
      <c r="E112" s="18" t="s">
        <v>96</v>
      </c>
      <c r="F112" s="18" t="s">
        <v>24</v>
      </c>
      <c r="G112" s="18" t="s">
        <v>63</v>
      </c>
      <c r="H112" s="18">
        <v>11</v>
      </c>
      <c r="I112" s="18">
        <v>520.44000000000005</v>
      </c>
      <c r="J112" s="18">
        <v>0</v>
      </c>
      <c r="K112" s="18">
        <v>5724.84</v>
      </c>
      <c r="L112" s="18" t="s">
        <v>39</v>
      </c>
      <c r="M112" s="18" t="s">
        <v>26</v>
      </c>
    </row>
    <row r="113" spans="1:13" x14ac:dyDescent="0.35">
      <c r="A113" s="18">
        <v>1112</v>
      </c>
      <c r="B113" s="27">
        <v>46109</v>
      </c>
      <c r="C113" s="18" t="s">
        <v>43</v>
      </c>
      <c r="D113" s="18" t="s">
        <v>54</v>
      </c>
      <c r="E113" s="18" t="s">
        <v>86</v>
      </c>
      <c r="F113" s="18" t="s">
        <v>24</v>
      </c>
      <c r="G113" s="18" t="s">
        <v>25</v>
      </c>
      <c r="H113" s="18">
        <v>15</v>
      </c>
      <c r="I113" s="18">
        <v>486.43</v>
      </c>
      <c r="J113" s="18">
        <v>0.1</v>
      </c>
      <c r="K113" s="18">
        <v>6566.81</v>
      </c>
      <c r="L113" s="18" t="s">
        <v>35</v>
      </c>
      <c r="M113" s="18" t="s">
        <v>26</v>
      </c>
    </row>
    <row r="114" spans="1:13" x14ac:dyDescent="0.35">
      <c r="A114" s="18">
        <v>1113</v>
      </c>
      <c r="B114" s="27">
        <v>45713</v>
      </c>
      <c r="C114" s="18" t="s">
        <v>43</v>
      </c>
      <c r="D114" s="18" t="s">
        <v>47</v>
      </c>
      <c r="E114" s="18" t="s">
        <v>57</v>
      </c>
      <c r="F114" s="18" t="s">
        <v>17</v>
      </c>
      <c r="G114" s="18" t="s">
        <v>18</v>
      </c>
      <c r="H114" s="18">
        <v>15</v>
      </c>
      <c r="I114" s="18">
        <v>213.05</v>
      </c>
      <c r="J114" s="18">
        <v>0.1</v>
      </c>
      <c r="K114" s="18">
        <v>2876.18</v>
      </c>
      <c r="L114" s="18" t="s">
        <v>39</v>
      </c>
      <c r="M114" s="18" t="s">
        <v>36</v>
      </c>
    </row>
    <row r="115" spans="1:13" x14ac:dyDescent="0.35">
      <c r="A115" s="18">
        <v>1114</v>
      </c>
      <c r="B115" s="27">
        <v>45881</v>
      </c>
      <c r="C115" s="18" t="s">
        <v>43</v>
      </c>
      <c r="D115" s="18" t="s">
        <v>22</v>
      </c>
      <c r="E115" s="18" t="s">
        <v>64</v>
      </c>
      <c r="F115" s="18" t="s">
        <v>24</v>
      </c>
      <c r="G115" s="18" t="s">
        <v>38</v>
      </c>
      <c r="H115" s="18">
        <v>13</v>
      </c>
      <c r="I115" s="18">
        <v>822.77</v>
      </c>
      <c r="J115" s="18">
        <v>0.1</v>
      </c>
      <c r="K115" s="18">
        <v>9626.41</v>
      </c>
      <c r="L115" s="18" t="s">
        <v>35</v>
      </c>
      <c r="M115" s="18" t="s">
        <v>20</v>
      </c>
    </row>
    <row r="116" spans="1:13" x14ac:dyDescent="0.35">
      <c r="A116" s="18">
        <v>1115</v>
      </c>
      <c r="B116" s="27">
        <v>45689</v>
      </c>
      <c r="C116" s="18" t="s">
        <v>43</v>
      </c>
      <c r="D116" s="18" t="s">
        <v>15</v>
      </c>
      <c r="E116" s="18" t="s">
        <v>56</v>
      </c>
      <c r="F116" s="18" t="s">
        <v>17</v>
      </c>
      <c r="G116" s="18" t="s">
        <v>46</v>
      </c>
      <c r="H116" s="18">
        <v>4</v>
      </c>
      <c r="I116" s="18">
        <v>871.29</v>
      </c>
      <c r="J116" s="18">
        <v>0</v>
      </c>
      <c r="K116" s="18">
        <v>3485.16</v>
      </c>
      <c r="L116" s="18" t="s">
        <v>35</v>
      </c>
      <c r="M116" s="18" t="s">
        <v>20</v>
      </c>
    </row>
    <row r="117" spans="1:13" x14ac:dyDescent="0.35">
      <c r="A117" s="18">
        <v>1116</v>
      </c>
      <c r="B117" s="27">
        <v>45718</v>
      </c>
      <c r="C117" s="18" t="s">
        <v>27</v>
      </c>
      <c r="D117" s="18" t="s">
        <v>47</v>
      </c>
      <c r="E117" s="18" t="s">
        <v>70</v>
      </c>
      <c r="F117" s="18" t="s">
        <v>33</v>
      </c>
      <c r="G117" s="18" t="s">
        <v>53</v>
      </c>
      <c r="H117" s="18">
        <v>12</v>
      </c>
      <c r="I117" s="18">
        <v>483.26</v>
      </c>
      <c r="J117" s="18">
        <v>0.15</v>
      </c>
      <c r="K117" s="18">
        <v>4929.25</v>
      </c>
      <c r="L117" s="18" t="s">
        <v>39</v>
      </c>
      <c r="M117" s="18" t="s">
        <v>36</v>
      </c>
    </row>
    <row r="118" spans="1:13" x14ac:dyDescent="0.35">
      <c r="A118" s="18">
        <v>1117</v>
      </c>
      <c r="B118" s="27">
        <v>45775</v>
      </c>
      <c r="C118" s="18" t="s">
        <v>14</v>
      </c>
      <c r="D118" s="18" t="s">
        <v>15</v>
      </c>
      <c r="E118" s="18" t="s">
        <v>41</v>
      </c>
      <c r="F118" s="18" t="s">
        <v>17</v>
      </c>
      <c r="G118" s="18" t="s">
        <v>30</v>
      </c>
      <c r="H118" s="18">
        <v>10</v>
      </c>
      <c r="I118" s="18">
        <v>727.41</v>
      </c>
      <c r="J118" s="18">
        <v>0.15</v>
      </c>
      <c r="K118" s="18">
        <v>6182.98</v>
      </c>
      <c r="L118" s="18" t="s">
        <v>19</v>
      </c>
      <c r="M118" s="18" t="s">
        <v>26</v>
      </c>
    </row>
    <row r="119" spans="1:13" x14ac:dyDescent="0.35">
      <c r="A119" s="18">
        <v>1118</v>
      </c>
      <c r="B119" s="27">
        <v>45916</v>
      </c>
      <c r="C119" s="18" t="s">
        <v>27</v>
      </c>
      <c r="D119" s="18" t="s">
        <v>15</v>
      </c>
      <c r="E119" s="18" t="s">
        <v>99</v>
      </c>
      <c r="F119" s="18" t="s">
        <v>17</v>
      </c>
      <c r="G119" s="18" t="s">
        <v>18</v>
      </c>
      <c r="H119" s="18">
        <v>14</v>
      </c>
      <c r="I119" s="18">
        <v>298.47000000000003</v>
      </c>
      <c r="J119" s="18">
        <v>0</v>
      </c>
      <c r="K119" s="18">
        <v>4178.58</v>
      </c>
      <c r="L119" s="18" t="s">
        <v>19</v>
      </c>
      <c r="M119" s="18" t="s">
        <v>20</v>
      </c>
    </row>
    <row r="120" spans="1:13" x14ac:dyDescent="0.35">
      <c r="A120" s="18">
        <v>1119</v>
      </c>
      <c r="B120" s="27">
        <v>45794</v>
      </c>
      <c r="C120" s="18" t="s">
        <v>21</v>
      </c>
      <c r="D120" s="18" t="s">
        <v>28</v>
      </c>
      <c r="E120" s="18" t="s">
        <v>91</v>
      </c>
      <c r="F120" s="18" t="s">
        <v>24</v>
      </c>
      <c r="G120" s="18" t="s">
        <v>25</v>
      </c>
      <c r="H120" s="18">
        <v>2</v>
      </c>
      <c r="I120" s="18">
        <v>804.39</v>
      </c>
      <c r="J120" s="18">
        <v>0</v>
      </c>
      <c r="K120" s="18">
        <v>1608.78</v>
      </c>
      <c r="L120" s="18" t="s">
        <v>39</v>
      </c>
      <c r="M120" s="18" t="s">
        <v>26</v>
      </c>
    </row>
    <row r="121" spans="1:13" x14ac:dyDescent="0.35">
      <c r="A121" s="18">
        <v>1120</v>
      </c>
      <c r="B121" s="27">
        <v>45824</v>
      </c>
      <c r="C121" s="18" t="s">
        <v>43</v>
      </c>
      <c r="D121" s="18" t="s">
        <v>28</v>
      </c>
      <c r="E121" s="18" t="s">
        <v>100</v>
      </c>
      <c r="F121" s="18" t="s">
        <v>17</v>
      </c>
      <c r="G121" s="18" t="s">
        <v>30</v>
      </c>
      <c r="H121" s="18">
        <v>3</v>
      </c>
      <c r="I121" s="18">
        <v>838.73</v>
      </c>
      <c r="J121" s="18">
        <v>0.1</v>
      </c>
      <c r="K121" s="18">
        <v>2264.5700000000002</v>
      </c>
      <c r="L121" s="18" t="s">
        <v>39</v>
      </c>
      <c r="M121" s="18" t="s">
        <v>26</v>
      </c>
    </row>
    <row r="122" spans="1:13" x14ac:dyDescent="0.35">
      <c r="A122" s="18">
        <v>1121</v>
      </c>
      <c r="B122" s="27">
        <v>46032</v>
      </c>
      <c r="C122" s="18" t="s">
        <v>27</v>
      </c>
      <c r="D122" s="18" t="s">
        <v>54</v>
      </c>
      <c r="E122" s="18" t="s">
        <v>29</v>
      </c>
      <c r="F122" s="18" t="s">
        <v>24</v>
      </c>
      <c r="G122" s="18" t="s">
        <v>25</v>
      </c>
      <c r="H122" s="18">
        <v>3</v>
      </c>
      <c r="I122" s="18">
        <v>78.92</v>
      </c>
      <c r="J122" s="18">
        <v>0.15</v>
      </c>
      <c r="K122" s="18">
        <v>201.25</v>
      </c>
      <c r="L122" s="18" t="s">
        <v>19</v>
      </c>
      <c r="M122" s="18" t="s">
        <v>36</v>
      </c>
    </row>
    <row r="123" spans="1:13" x14ac:dyDescent="0.35">
      <c r="A123" s="18">
        <v>1122</v>
      </c>
      <c r="B123" s="27">
        <v>46000</v>
      </c>
      <c r="C123" s="18" t="s">
        <v>14</v>
      </c>
      <c r="D123" s="18" t="s">
        <v>31</v>
      </c>
      <c r="E123" s="18" t="s">
        <v>32</v>
      </c>
      <c r="F123" s="18" t="s">
        <v>24</v>
      </c>
      <c r="G123" s="18" t="s">
        <v>63</v>
      </c>
      <c r="H123" s="18">
        <v>7</v>
      </c>
      <c r="I123" s="18">
        <v>161.07</v>
      </c>
      <c r="J123" s="18">
        <v>0</v>
      </c>
      <c r="K123" s="18">
        <v>1127.49</v>
      </c>
      <c r="L123" s="18" t="s">
        <v>39</v>
      </c>
      <c r="M123" s="18" t="s">
        <v>36</v>
      </c>
    </row>
    <row r="124" spans="1:13" x14ac:dyDescent="0.35">
      <c r="A124" s="18">
        <v>1123</v>
      </c>
      <c r="B124" s="27">
        <v>46163</v>
      </c>
      <c r="C124" s="18" t="s">
        <v>21</v>
      </c>
      <c r="D124" s="18" t="s">
        <v>28</v>
      </c>
      <c r="E124" s="18" t="s">
        <v>114</v>
      </c>
      <c r="F124" s="18" t="s">
        <v>33</v>
      </c>
      <c r="G124" s="18" t="s">
        <v>61</v>
      </c>
      <c r="H124" s="18">
        <v>2</v>
      </c>
      <c r="I124" s="18">
        <v>1075.27</v>
      </c>
      <c r="J124" s="18">
        <v>0</v>
      </c>
      <c r="K124" s="18">
        <v>2150.54</v>
      </c>
      <c r="L124" s="18" t="s">
        <v>19</v>
      </c>
      <c r="M124" s="18" t="s">
        <v>36</v>
      </c>
    </row>
    <row r="125" spans="1:13" x14ac:dyDescent="0.35">
      <c r="A125" s="18">
        <v>1124</v>
      </c>
      <c r="B125" s="27">
        <v>45805</v>
      </c>
      <c r="C125" s="18" t="s">
        <v>43</v>
      </c>
      <c r="D125" s="18" t="s">
        <v>15</v>
      </c>
      <c r="E125" s="18" t="s">
        <v>94</v>
      </c>
      <c r="F125" s="18" t="s">
        <v>17</v>
      </c>
      <c r="G125" s="18" t="s">
        <v>18</v>
      </c>
      <c r="H125" s="18">
        <v>12</v>
      </c>
      <c r="I125" s="18">
        <v>1056.01</v>
      </c>
      <c r="J125" s="18">
        <v>0.15</v>
      </c>
      <c r="K125" s="18">
        <v>10771.3</v>
      </c>
      <c r="L125" s="18" t="s">
        <v>35</v>
      </c>
      <c r="M125" s="18" t="s">
        <v>26</v>
      </c>
    </row>
    <row r="126" spans="1:13" x14ac:dyDescent="0.35">
      <c r="A126" s="18">
        <v>1125</v>
      </c>
      <c r="B126" s="27">
        <v>46098</v>
      </c>
      <c r="C126" s="18" t="s">
        <v>27</v>
      </c>
      <c r="D126" s="18" t="s">
        <v>47</v>
      </c>
      <c r="E126" s="18" t="s">
        <v>80</v>
      </c>
      <c r="F126" s="18" t="s">
        <v>17</v>
      </c>
      <c r="G126" s="18" t="s">
        <v>18</v>
      </c>
      <c r="H126" s="18">
        <v>7</v>
      </c>
      <c r="I126" s="18">
        <v>989.45</v>
      </c>
      <c r="J126" s="18">
        <v>0</v>
      </c>
      <c r="K126" s="18">
        <v>6926.15</v>
      </c>
      <c r="L126" s="18" t="s">
        <v>35</v>
      </c>
      <c r="M126" s="18" t="s">
        <v>26</v>
      </c>
    </row>
    <row r="127" spans="1:13" x14ac:dyDescent="0.35">
      <c r="A127" s="18">
        <v>1126</v>
      </c>
      <c r="B127" s="27">
        <v>46075</v>
      </c>
      <c r="C127" s="18" t="s">
        <v>14</v>
      </c>
      <c r="D127" s="18" t="s">
        <v>15</v>
      </c>
      <c r="E127" s="18" t="s">
        <v>92</v>
      </c>
      <c r="F127" s="18" t="s">
        <v>33</v>
      </c>
      <c r="G127" s="18" t="s">
        <v>53</v>
      </c>
      <c r="H127" s="18">
        <v>4</v>
      </c>
      <c r="I127" s="18">
        <v>586.72</v>
      </c>
      <c r="J127" s="18">
        <v>0.15</v>
      </c>
      <c r="K127" s="18">
        <v>1994.85</v>
      </c>
      <c r="L127" s="18" t="s">
        <v>19</v>
      </c>
      <c r="M127" s="18" t="s">
        <v>26</v>
      </c>
    </row>
    <row r="128" spans="1:13" x14ac:dyDescent="0.35">
      <c r="A128" s="18">
        <v>1127</v>
      </c>
      <c r="B128" s="27">
        <v>46065</v>
      </c>
      <c r="C128" s="18" t="s">
        <v>21</v>
      </c>
      <c r="D128" s="18" t="s">
        <v>54</v>
      </c>
      <c r="E128" s="18" t="s">
        <v>82</v>
      </c>
      <c r="F128" s="18" t="s">
        <v>33</v>
      </c>
      <c r="G128" s="18" t="s">
        <v>61</v>
      </c>
      <c r="H128" s="18">
        <v>10</v>
      </c>
      <c r="I128" s="18">
        <v>256.5</v>
      </c>
      <c r="J128" s="18">
        <v>0.15</v>
      </c>
      <c r="K128" s="18">
        <v>2180.25</v>
      </c>
      <c r="L128" s="18" t="s">
        <v>35</v>
      </c>
      <c r="M128" s="18" t="s">
        <v>20</v>
      </c>
    </row>
    <row r="129" spans="1:13" x14ac:dyDescent="0.35">
      <c r="A129" s="18">
        <v>1128</v>
      </c>
      <c r="B129" s="27">
        <v>45755</v>
      </c>
      <c r="C129" s="18" t="s">
        <v>43</v>
      </c>
      <c r="D129" s="18" t="s">
        <v>54</v>
      </c>
      <c r="E129" s="18" t="s">
        <v>60</v>
      </c>
      <c r="F129" s="18" t="s">
        <v>33</v>
      </c>
      <c r="G129" s="18" t="s">
        <v>61</v>
      </c>
      <c r="H129" s="18">
        <v>7</v>
      </c>
      <c r="I129" s="18">
        <v>1071.58</v>
      </c>
      <c r="J129" s="18">
        <v>0.05</v>
      </c>
      <c r="K129" s="18">
        <v>7126.01</v>
      </c>
      <c r="L129" s="18" t="s">
        <v>35</v>
      </c>
      <c r="M129" s="18" t="s">
        <v>36</v>
      </c>
    </row>
    <row r="130" spans="1:13" x14ac:dyDescent="0.35">
      <c r="A130" s="18">
        <v>1129</v>
      </c>
      <c r="B130" s="27">
        <v>45891</v>
      </c>
      <c r="C130" s="18" t="s">
        <v>27</v>
      </c>
      <c r="D130" s="18" t="s">
        <v>47</v>
      </c>
      <c r="E130" s="18" t="s">
        <v>41</v>
      </c>
      <c r="F130" s="18" t="s">
        <v>17</v>
      </c>
      <c r="G130" s="18" t="s">
        <v>18</v>
      </c>
      <c r="H130" s="18">
        <v>4</v>
      </c>
      <c r="I130" s="18">
        <v>974.87</v>
      </c>
      <c r="J130" s="18">
        <v>0.05</v>
      </c>
      <c r="K130" s="18">
        <v>3704.51</v>
      </c>
      <c r="L130" s="18" t="s">
        <v>39</v>
      </c>
      <c r="M130" s="18" t="s">
        <v>26</v>
      </c>
    </row>
    <row r="131" spans="1:13" x14ac:dyDescent="0.35">
      <c r="A131" s="18">
        <v>1130</v>
      </c>
      <c r="B131" s="27">
        <v>46013</v>
      </c>
      <c r="C131" s="18" t="s">
        <v>27</v>
      </c>
      <c r="D131" s="18" t="s">
        <v>15</v>
      </c>
      <c r="E131" s="18" t="s">
        <v>55</v>
      </c>
      <c r="F131" s="18" t="s">
        <v>33</v>
      </c>
      <c r="G131" s="18" t="s">
        <v>61</v>
      </c>
      <c r="H131" s="18">
        <v>10</v>
      </c>
      <c r="I131" s="18">
        <v>440.81</v>
      </c>
      <c r="J131" s="18">
        <v>0.15</v>
      </c>
      <c r="K131" s="18">
        <v>3746.89</v>
      </c>
      <c r="L131" s="18" t="s">
        <v>19</v>
      </c>
      <c r="M131" s="18" t="s">
        <v>26</v>
      </c>
    </row>
    <row r="132" spans="1:13" x14ac:dyDescent="0.35">
      <c r="A132" s="18">
        <v>1131</v>
      </c>
      <c r="B132" s="27">
        <v>45739</v>
      </c>
      <c r="C132" s="18" t="s">
        <v>27</v>
      </c>
      <c r="D132" s="18" t="s">
        <v>22</v>
      </c>
      <c r="E132" s="18" t="s">
        <v>29</v>
      </c>
      <c r="F132" s="18" t="s">
        <v>24</v>
      </c>
      <c r="G132" s="18" t="s">
        <v>38</v>
      </c>
      <c r="H132" s="18">
        <v>3</v>
      </c>
      <c r="I132" s="18">
        <v>976.39</v>
      </c>
      <c r="J132" s="18">
        <v>0.05</v>
      </c>
      <c r="K132" s="18">
        <v>2782.71</v>
      </c>
      <c r="L132" s="18" t="s">
        <v>35</v>
      </c>
      <c r="M132" s="18" t="s">
        <v>36</v>
      </c>
    </row>
    <row r="133" spans="1:13" x14ac:dyDescent="0.35">
      <c r="A133" s="18">
        <v>1132</v>
      </c>
      <c r="B133" s="27">
        <v>45879</v>
      </c>
      <c r="C133" s="18" t="s">
        <v>21</v>
      </c>
      <c r="D133" s="18" t="s">
        <v>22</v>
      </c>
      <c r="E133" s="18" t="s">
        <v>106</v>
      </c>
      <c r="F133" s="18" t="s">
        <v>24</v>
      </c>
      <c r="G133" s="18" t="s">
        <v>38</v>
      </c>
      <c r="H133" s="18">
        <v>10</v>
      </c>
      <c r="I133" s="18">
        <v>16.64</v>
      </c>
      <c r="J133" s="18">
        <v>0.15</v>
      </c>
      <c r="K133" s="18">
        <v>141.44</v>
      </c>
      <c r="L133" s="18" t="s">
        <v>35</v>
      </c>
      <c r="M133" s="18" t="s">
        <v>20</v>
      </c>
    </row>
    <row r="134" spans="1:13" x14ac:dyDescent="0.35">
      <c r="A134" s="18">
        <v>1133</v>
      </c>
      <c r="B134" s="27">
        <v>46036</v>
      </c>
      <c r="C134" s="18" t="s">
        <v>14</v>
      </c>
      <c r="D134" s="18" t="s">
        <v>15</v>
      </c>
      <c r="E134" s="18" t="s">
        <v>86</v>
      </c>
      <c r="F134" s="18" t="s">
        <v>24</v>
      </c>
      <c r="G134" s="18" t="s">
        <v>38</v>
      </c>
      <c r="H134" s="18">
        <v>10</v>
      </c>
      <c r="I134" s="18">
        <v>1088.83</v>
      </c>
      <c r="J134" s="18">
        <v>0.1</v>
      </c>
      <c r="K134" s="18">
        <v>9799.4699999999993</v>
      </c>
      <c r="L134" s="18" t="s">
        <v>19</v>
      </c>
      <c r="M134" s="18" t="s">
        <v>36</v>
      </c>
    </row>
    <row r="135" spans="1:13" x14ac:dyDescent="0.35">
      <c r="A135" s="18">
        <v>1134</v>
      </c>
      <c r="B135" s="27">
        <v>45947</v>
      </c>
      <c r="C135" s="18" t="s">
        <v>27</v>
      </c>
      <c r="D135" s="18" t="s">
        <v>28</v>
      </c>
      <c r="E135" s="18" t="s">
        <v>23</v>
      </c>
      <c r="F135" s="18" t="s">
        <v>17</v>
      </c>
      <c r="G135" s="18" t="s">
        <v>18</v>
      </c>
      <c r="H135" s="18">
        <v>12</v>
      </c>
      <c r="I135" s="18">
        <v>306.14999999999998</v>
      </c>
      <c r="J135" s="18">
        <v>0.05</v>
      </c>
      <c r="K135" s="18">
        <v>3490.11</v>
      </c>
      <c r="L135" s="18" t="s">
        <v>35</v>
      </c>
      <c r="M135" s="18" t="s">
        <v>20</v>
      </c>
    </row>
    <row r="136" spans="1:13" x14ac:dyDescent="0.35">
      <c r="A136" s="18">
        <v>1135</v>
      </c>
      <c r="B136" s="27">
        <v>46192</v>
      </c>
      <c r="C136" s="18" t="s">
        <v>27</v>
      </c>
      <c r="D136" s="18" t="s">
        <v>54</v>
      </c>
      <c r="E136" s="18" t="s">
        <v>81</v>
      </c>
      <c r="F136" s="18" t="s">
        <v>17</v>
      </c>
      <c r="G136" s="18" t="s">
        <v>18</v>
      </c>
      <c r="H136" s="18">
        <v>6</v>
      </c>
      <c r="I136" s="18">
        <v>713.97</v>
      </c>
      <c r="J136" s="18">
        <v>0.15</v>
      </c>
      <c r="K136" s="18">
        <v>3641.25</v>
      </c>
      <c r="L136" s="18" t="s">
        <v>19</v>
      </c>
      <c r="M136" s="18" t="s">
        <v>20</v>
      </c>
    </row>
    <row r="137" spans="1:13" x14ac:dyDescent="0.35">
      <c r="A137" s="18">
        <v>1136</v>
      </c>
      <c r="B137" s="27">
        <v>46017</v>
      </c>
      <c r="C137" s="18" t="s">
        <v>21</v>
      </c>
      <c r="D137" s="18" t="s">
        <v>22</v>
      </c>
      <c r="E137" s="18" t="s">
        <v>62</v>
      </c>
      <c r="F137" s="18" t="s">
        <v>17</v>
      </c>
      <c r="G137" s="18" t="s">
        <v>46</v>
      </c>
      <c r="H137" s="18">
        <v>15</v>
      </c>
      <c r="I137" s="18">
        <v>628.37</v>
      </c>
      <c r="J137" s="18">
        <v>0.1</v>
      </c>
      <c r="K137" s="18">
        <v>8482.99</v>
      </c>
      <c r="L137" s="18" t="s">
        <v>39</v>
      </c>
      <c r="M137" s="18" t="s">
        <v>36</v>
      </c>
    </row>
    <row r="138" spans="1:13" x14ac:dyDescent="0.35">
      <c r="A138" s="18">
        <v>1137</v>
      </c>
      <c r="B138" s="27">
        <v>46163</v>
      </c>
      <c r="C138" s="18" t="s">
        <v>43</v>
      </c>
      <c r="D138" s="18" t="s">
        <v>54</v>
      </c>
      <c r="E138" s="18" t="s">
        <v>59</v>
      </c>
      <c r="F138" s="18" t="s">
        <v>24</v>
      </c>
      <c r="G138" s="18" t="s">
        <v>25</v>
      </c>
      <c r="H138" s="18">
        <v>2</v>
      </c>
      <c r="I138" s="18">
        <v>249.82</v>
      </c>
      <c r="J138" s="18">
        <v>0.15</v>
      </c>
      <c r="K138" s="18">
        <v>424.69</v>
      </c>
      <c r="L138" s="18" t="s">
        <v>19</v>
      </c>
      <c r="M138" s="18" t="s">
        <v>36</v>
      </c>
    </row>
    <row r="139" spans="1:13" x14ac:dyDescent="0.35">
      <c r="A139" s="18">
        <v>1138</v>
      </c>
      <c r="B139" s="27">
        <v>45783</v>
      </c>
      <c r="C139" s="18" t="s">
        <v>27</v>
      </c>
      <c r="D139" s="18" t="s">
        <v>31</v>
      </c>
      <c r="E139" s="18" t="s">
        <v>79</v>
      </c>
      <c r="F139" s="18" t="s">
        <v>17</v>
      </c>
      <c r="G139" s="18" t="s">
        <v>46</v>
      </c>
      <c r="H139" s="18">
        <v>4</v>
      </c>
      <c r="I139" s="18">
        <v>1071.3399999999999</v>
      </c>
      <c r="J139" s="18">
        <v>0.05</v>
      </c>
      <c r="K139" s="18">
        <v>4071.09</v>
      </c>
      <c r="L139" s="18" t="s">
        <v>35</v>
      </c>
      <c r="M139" s="18" t="s">
        <v>26</v>
      </c>
    </row>
    <row r="140" spans="1:13" x14ac:dyDescent="0.35">
      <c r="A140" s="18">
        <v>1139</v>
      </c>
      <c r="B140" s="27">
        <v>45731</v>
      </c>
      <c r="C140" s="18" t="s">
        <v>14</v>
      </c>
      <c r="D140" s="18" t="s">
        <v>31</v>
      </c>
      <c r="E140" s="18" t="s">
        <v>74</v>
      </c>
      <c r="F140" s="18" t="s">
        <v>24</v>
      </c>
      <c r="G140" s="18" t="s">
        <v>38</v>
      </c>
      <c r="H140" s="18">
        <v>13</v>
      </c>
      <c r="I140" s="18">
        <v>96.33</v>
      </c>
      <c r="J140" s="18">
        <v>0.15</v>
      </c>
      <c r="K140" s="18">
        <v>1064.45</v>
      </c>
      <c r="L140" s="18" t="s">
        <v>35</v>
      </c>
      <c r="M140" s="18" t="s">
        <v>26</v>
      </c>
    </row>
    <row r="141" spans="1:13" x14ac:dyDescent="0.35">
      <c r="A141" s="18">
        <v>1140</v>
      </c>
      <c r="B141" s="27">
        <v>46026</v>
      </c>
      <c r="C141" s="18" t="s">
        <v>27</v>
      </c>
      <c r="D141" s="18" t="s">
        <v>28</v>
      </c>
      <c r="E141" s="18" t="s">
        <v>41</v>
      </c>
      <c r="F141" s="18" t="s">
        <v>33</v>
      </c>
      <c r="G141" s="18" t="s">
        <v>34</v>
      </c>
      <c r="H141" s="18">
        <v>13</v>
      </c>
      <c r="I141" s="18">
        <v>284.39999999999998</v>
      </c>
      <c r="J141" s="18">
        <v>0.05</v>
      </c>
      <c r="K141" s="18">
        <v>3512.34</v>
      </c>
      <c r="L141" s="18" t="s">
        <v>19</v>
      </c>
      <c r="M141" s="18" t="s">
        <v>36</v>
      </c>
    </row>
    <row r="142" spans="1:13" x14ac:dyDescent="0.35">
      <c r="A142" s="18">
        <v>1141</v>
      </c>
      <c r="B142" s="27">
        <v>46156</v>
      </c>
      <c r="C142" s="18" t="s">
        <v>43</v>
      </c>
      <c r="D142" s="18" t="s">
        <v>31</v>
      </c>
      <c r="E142" s="18" t="s">
        <v>40</v>
      </c>
      <c r="F142" s="18" t="s">
        <v>24</v>
      </c>
      <c r="G142" s="18" t="s">
        <v>63</v>
      </c>
      <c r="H142" s="18">
        <v>2</v>
      </c>
      <c r="I142" s="18">
        <v>1069</v>
      </c>
      <c r="J142" s="18">
        <v>0.1</v>
      </c>
      <c r="K142" s="18">
        <v>1924.2</v>
      </c>
      <c r="L142" s="18" t="s">
        <v>39</v>
      </c>
      <c r="M142" s="18" t="s">
        <v>26</v>
      </c>
    </row>
    <row r="143" spans="1:13" x14ac:dyDescent="0.35">
      <c r="A143" s="18">
        <v>1142</v>
      </c>
      <c r="B143" s="27">
        <v>45962</v>
      </c>
      <c r="C143" s="18" t="s">
        <v>21</v>
      </c>
      <c r="D143" s="18" t="s">
        <v>47</v>
      </c>
      <c r="E143" s="18" t="s">
        <v>67</v>
      </c>
      <c r="F143" s="18" t="s">
        <v>24</v>
      </c>
      <c r="G143" s="18" t="s">
        <v>38</v>
      </c>
      <c r="H143" s="18">
        <v>9</v>
      </c>
      <c r="I143" s="18">
        <v>252.58</v>
      </c>
      <c r="J143" s="18">
        <v>0</v>
      </c>
      <c r="K143" s="18">
        <v>2273.2199999999998</v>
      </c>
      <c r="L143" s="18" t="s">
        <v>39</v>
      </c>
      <c r="M143" s="18" t="s">
        <v>20</v>
      </c>
    </row>
    <row r="144" spans="1:13" x14ac:dyDescent="0.35">
      <c r="A144" s="18">
        <v>1143</v>
      </c>
      <c r="B144" s="27">
        <v>45677</v>
      </c>
      <c r="C144" s="18" t="s">
        <v>27</v>
      </c>
      <c r="D144" s="18" t="s">
        <v>47</v>
      </c>
      <c r="E144" s="18" t="s">
        <v>48</v>
      </c>
      <c r="F144" s="18" t="s">
        <v>24</v>
      </c>
      <c r="G144" s="18" t="s">
        <v>38</v>
      </c>
      <c r="H144" s="18">
        <v>6</v>
      </c>
      <c r="I144" s="18">
        <v>596.54</v>
      </c>
      <c r="J144" s="18">
        <v>0.15</v>
      </c>
      <c r="K144" s="18">
        <v>3042.35</v>
      </c>
      <c r="L144" s="18" t="s">
        <v>39</v>
      </c>
      <c r="M144" s="18" t="s">
        <v>26</v>
      </c>
    </row>
    <row r="145" spans="1:13" x14ac:dyDescent="0.35">
      <c r="A145" s="18">
        <v>1144</v>
      </c>
      <c r="B145" s="27">
        <v>46132</v>
      </c>
      <c r="C145" s="18" t="s">
        <v>21</v>
      </c>
      <c r="D145" s="18" t="s">
        <v>22</v>
      </c>
      <c r="E145" s="18" t="s">
        <v>89</v>
      </c>
      <c r="F145" s="18" t="s">
        <v>24</v>
      </c>
      <c r="G145" s="18" t="s">
        <v>63</v>
      </c>
      <c r="H145" s="18">
        <v>4</v>
      </c>
      <c r="I145" s="18">
        <v>162.99</v>
      </c>
      <c r="J145" s="18">
        <v>0</v>
      </c>
      <c r="K145" s="18">
        <v>651.96</v>
      </c>
      <c r="L145" s="18" t="s">
        <v>19</v>
      </c>
      <c r="M145" s="18" t="s">
        <v>36</v>
      </c>
    </row>
    <row r="146" spans="1:13" x14ac:dyDescent="0.35">
      <c r="A146" s="18">
        <v>1145</v>
      </c>
      <c r="B146" s="27">
        <v>46028</v>
      </c>
      <c r="C146" s="18" t="s">
        <v>43</v>
      </c>
      <c r="D146" s="18" t="s">
        <v>31</v>
      </c>
      <c r="E146" s="18" t="s">
        <v>92</v>
      </c>
      <c r="F146" s="18" t="s">
        <v>17</v>
      </c>
      <c r="G146" s="18" t="s">
        <v>18</v>
      </c>
      <c r="H146" s="18">
        <v>14</v>
      </c>
      <c r="I146" s="18">
        <v>341.26</v>
      </c>
      <c r="J146" s="18">
        <v>0.05</v>
      </c>
      <c r="K146" s="18">
        <v>4538.76</v>
      </c>
      <c r="L146" s="18" t="s">
        <v>19</v>
      </c>
      <c r="M146" s="18" t="s">
        <v>20</v>
      </c>
    </row>
    <row r="147" spans="1:13" x14ac:dyDescent="0.35">
      <c r="A147" s="18">
        <v>1146</v>
      </c>
      <c r="B147" s="27">
        <v>46030</v>
      </c>
      <c r="C147" s="18" t="s">
        <v>21</v>
      </c>
      <c r="D147" s="18" t="s">
        <v>31</v>
      </c>
      <c r="E147" s="18" t="s">
        <v>114</v>
      </c>
      <c r="F147" s="18" t="s">
        <v>17</v>
      </c>
      <c r="G147" s="18" t="s">
        <v>30</v>
      </c>
      <c r="H147" s="18">
        <v>1</v>
      </c>
      <c r="I147" s="18">
        <v>536.55999999999995</v>
      </c>
      <c r="J147" s="18">
        <v>0.1</v>
      </c>
      <c r="K147" s="18">
        <v>482.9</v>
      </c>
      <c r="L147" s="18" t="s">
        <v>35</v>
      </c>
      <c r="M147" s="18" t="s">
        <v>20</v>
      </c>
    </row>
    <row r="148" spans="1:13" x14ac:dyDescent="0.35">
      <c r="A148" s="18">
        <v>1147</v>
      </c>
      <c r="B148" s="27">
        <v>45673</v>
      </c>
      <c r="C148" s="18" t="s">
        <v>27</v>
      </c>
      <c r="D148" s="18" t="s">
        <v>28</v>
      </c>
      <c r="E148" s="18" t="s">
        <v>41</v>
      </c>
      <c r="F148" s="18" t="s">
        <v>24</v>
      </c>
      <c r="G148" s="18" t="s">
        <v>38</v>
      </c>
      <c r="H148" s="18">
        <v>9</v>
      </c>
      <c r="I148" s="18">
        <v>96.87</v>
      </c>
      <c r="J148" s="18">
        <v>0.05</v>
      </c>
      <c r="K148" s="18">
        <v>828.24</v>
      </c>
      <c r="L148" s="18" t="s">
        <v>39</v>
      </c>
      <c r="M148" s="18" t="s">
        <v>36</v>
      </c>
    </row>
    <row r="149" spans="1:13" x14ac:dyDescent="0.35">
      <c r="A149" s="18">
        <v>1148</v>
      </c>
      <c r="B149" s="27">
        <v>45964</v>
      </c>
      <c r="C149" s="18" t="s">
        <v>21</v>
      </c>
      <c r="D149" s="18" t="s">
        <v>22</v>
      </c>
      <c r="E149" s="18" t="s">
        <v>100</v>
      </c>
      <c r="F149" s="18" t="s">
        <v>24</v>
      </c>
      <c r="G149" s="18" t="s">
        <v>38</v>
      </c>
      <c r="H149" s="18">
        <v>2</v>
      </c>
      <c r="I149" s="18">
        <v>680.68</v>
      </c>
      <c r="J149" s="18">
        <v>0</v>
      </c>
      <c r="K149" s="18">
        <v>1361.36</v>
      </c>
      <c r="L149" s="18" t="s">
        <v>35</v>
      </c>
      <c r="M149" s="18" t="s">
        <v>20</v>
      </c>
    </row>
    <row r="150" spans="1:13" x14ac:dyDescent="0.35">
      <c r="A150" s="18">
        <v>1149</v>
      </c>
      <c r="B150" s="27">
        <v>46195</v>
      </c>
      <c r="C150" s="18" t="s">
        <v>21</v>
      </c>
      <c r="D150" s="18" t="s">
        <v>28</v>
      </c>
      <c r="E150" s="18" t="s">
        <v>69</v>
      </c>
      <c r="F150" s="18" t="s">
        <v>17</v>
      </c>
      <c r="G150" s="18" t="s">
        <v>46</v>
      </c>
      <c r="H150" s="18">
        <v>10</v>
      </c>
      <c r="I150" s="18">
        <v>1063.48</v>
      </c>
      <c r="J150" s="18">
        <v>0.05</v>
      </c>
      <c r="K150" s="18">
        <v>10103.06</v>
      </c>
      <c r="L150" s="18" t="s">
        <v>35</v>
      </c>
      <c r="M150" s="18" t="s">
        <v>26</v>
      </c>
    </row>
    <row r="151" spans="1:13" x14ac:dyDescent="0.35">
      <c r="A151" s="18">
        <v>1150</v>
      </c>
      <c r="B151" s="27">
        <v>46039</v>
      </c>
      <c r="C151" s="18" t="s">
        <v>21</v>
      </c>
      <c r="D151" s="18" t="s">
        <v>54</v>
      </c>
      <c r="E151" s="18" t="s">
        <v>84</v>
      </c>
      <c r="F151" s="18" t="s">
        <v>17</v>
      </c>
      <c r="G151" s="18" t="s">
        <v>30</v>
      </c>
      <c r="H151" s="18">
        <v>10</v>
      </c>
      <c r="I151" s="18">
        <v>293.95</v>
      </c>
      <c r="J151" s="18">
        <v>0</v>
      </c>
      <c r="K151" s="18">
        <v>2939.5</v>
      </c>
      <c r="L151" s="18" t="s">
        <v>19</v>
      </c>
      <c r="M151" s="18" t="s">
        <v>26</v>
      </c>
    </row>
    <row r="152" spans="1:13" x14ac:dyDescent="0.35">
      <c r="A152" s="18">
        <v>1151</v>
      </c>
      <c r="B152" s="27">
        <v>46197</v>
      </c>
      <c r="C152" s="18" t="s">
        <v>27</v>
      </c>
      <c r="D152" s="18" t="s">
        <v>31</v>
      </c>
      <c r="E152" s="18" t="s">
        <v>97</v>
      </c>
      <c r="F152" s="18" t="s">
        <v>17</v>
      </c>
      <c r="G152" s="18" t="s">
        <v>46</v>
      </c>
      <c r="H152" s="18">
        <v>3</v>
      </c>
      <c r="I152" s="18">
        <v>411.34</v>
      </c>
      <c r="J152" s="18">
        <v>0</v>
      </c>
      <c r="K152" s="18">
        <v>1234.02</v>
      </c>
      <c r="L152" s="18" t="s">
        <v>19</v>
      </c>
      <c r="M152" s="18" t="s">
        <v>26</v>
      </c>
    </row>
    <row r="153" spans="1:13" x14ac:dyDescent="0.35">
      <c r="A153" s="18">
        <v>1152</v>
      </c>
      <c r="B153" s="27">
        <v>45811</v>
      </c>
      <c r="C153" s="18" t="s">
        <v>27</v>
      </c>
      <c r="D153" s="18" t="s">
        <v>28</v>
      </c>
      <c r="E153" s="18" t="s">
        <v>95</v>
      </c>
      <c r="F153" s="18" t="s">
        <v>24</v>
      </c>
      <c r="G153" s="18" t="s">
        <v>63</v>
      </c>
      <c r="H153" s="18">
        <v>10</v>
      </c>
      <c r="I153" s="18">
        <v>639.47</v>
      </c>
      <c r="J153" s="18">
        <v>0.15</v>
      </c>
      <c r="K153" s="18">
        <v>5435.5</v>
      </c>
      <c r="L153" s="18" t="s">
        <v>35</v>
      </c>
      <c r="M153" s="18" t="s">
        <v>20</v>
      </c>
    </row>
    <row r="154" spans="1:13" x14ac:dyDescent="0.35">
      <c r="A154" s="18">
        <v>1153</v>
      </c>
      <c r="B154" s="27">
        <v>45756</v>
      </c>
      <c r="C154" s="18" t="s">
        <v>27</v>
      </c>
      <c r="D154" s="18" t="s">
        <v>28</v>
      </c>
      <c r="E154" s="18" t="s">
        <v>51</v>
      </c>
      <c r="F154" s="18" t="s">
        <v>24</v>
      </c>
      <c r="G154" s="18" t="s">
        <v>38</v>
      </c>
      <c r="H154" s="18">
        <v>10</v>
      </c>
      <c r="I154" s="18">
        <v>644.11</v>
      </c>
      <c r="J154" s="18">
        <v>0</v>
      </c>
      <c r="K154" s="18">
        <v>6441.1</v>
      </c>
      <c r="L154" s="18" t="s">
        <v>39</v>
      </c>
      <c r="M154" s="18" t="s">
        <v>20</v>
      </c>
    </row>
    <row r="155" spans="1:13" x14ac:dyDescent="0.35">
      <c r="A155" s="18">
        <v>1154</v>
      </c>
      <c r="B155" s="27">
        <v>45714</v>
      </c>
      <c r="C155" s="18" t="s">
        <v>14</v>
      </c>
      <c r="D155" s="18" t="s">
        <v>28</v>
      </c>
      <c r="E155" s="18" t="s">
        <v>68</v>
      </c>
      <c r="F155" s="18" t="s">
        <v>33</v>
      </c>
      <c r="G155" s="18" t="s">
        <v>53</v>
      </c>
      <c r="H155" s="18">
        <v>6</v>
      </c>
      <c r="I155" s="18">
        <v>723.46</v>
      </c>
      <c r="J155" s="18">
        <v>0.1</v>
      </c>
      <c r="K155" s="18">
        <v>3906.68</v>
      </c>
      <c r="L155" s="18" t="s">
        <v>35</v>
      </c>
      <c r="M155" s="18" t="s">
        <v>26</v>
      </c>
    </row>
    <row r="156" spans="1:13" x14ac:dyDescent="0.35">
      <c r="A156" s="18">
        <v>1155</v>
      </c>
      <c r="B156" s="27">
        <v>46172</v>
      </c>
      <c r="C156" s="18" t="s">
        <v>43</v>
      </c>
      <c r="D156" s="18" t="s">
        <v>31</v>
      </c>
      <c r="E156" s="18" t="s">
        <v>41</v>
      </c>
      <c r="F156" s="18" t="s">
        <v>33</v>
      </c>
      <c r="G156" s="18" t="s">
        <v>53</v>
      </c>
      <c r="H156" s="18">
        <v>6</v>
      </c>
      <c r="I156" s="18">
        <v>1123.44</v>
      </c>
      <c r="J156" s="18">
        <v>0</v>
      </c>
      <c r="K156" s="18">
        <v>6740.64</v>
      </c>
      <c r="L156" s="18" t="s">
        <v>35</v>
      </c>
      <c r="M156" s="18" t="s">
        <v>36</v>
      </c>
    </row>
    <row r="157" spans="1:13" x14ac:dyDescent="0.35">
      <c r="A157" s="18">
        <v>1156</v>
      </c>
      <c r="B157" s="27">
        <v>45875</v>
      </c>
      <c r="C157" s="18" t="s">
        <v>21</v>
      </c>
      <c r="D157" s="18" t="s">
        <v>47</v>
      </c>
      <c r="E157" s="18" t="s">
        <v>79</v>
      </c>
      <c r="F157" s="18" t="s">
        <v>33</v>
      </c>
      <c r="G157" s="18" t="s">
        <v>53</v>
      </c>
      <c r="H157" s="18">
        <v>9</v>
      </c>
      <c r="I157" s="18">
        <v>227.95</v>
      </c>
      <c r="J157" s="18">
        <v>0</v>
      </c>
      <c r="K157" s="18">
        <v>2051.5500000000002</v>
      </c>
      <c r="L157" s="18" t="s">
        <v>19</v>
      </c>
      <c r="M157" s="18" t="s">
        <v>20</v>
      </c>
    </row>
    <row r="158" spans="1:13" x14ac:dyDescent="0.35">
      <c r="A158" s="18">
        <v>1157</v>
      </c>
      <c r="B158" s="27">
        <v>46006</v>
      </c>
      <c r="C158" s="18" t="s">
        <v>27</v>
      </c>
      <c r="D158" s="18" t="s">
        <v>47</v>
      </c>
      <c r="E158" s="18" t="s">
        <v>117</v>
      </c>
      <c r="F158" s="18" t="s">
        <v>24</v>
      </c>
      <c r="G158" s="18" t="s">
        <v>63</v>
      </c>
      <c r="H158" s="18">
        <v>15</v>
      </c>
      <c r="I158" s="18">
        <v>269.54000000000002</v>
      </c>
      <c r="J158" s="18">
        <v>0.15</v>
      </c>
      <c r="K158" s="18">
        <v>3436.64</v>
      </c>
      <c r="L158" s="18" t="s">
        <v>35</v>
      </c>
      <c r="M158" s="18" t="s">
        <v>20</v>
      </c>
    </row>
    <row r="159" spans="1:13" x14ac:dyDescent="0.35">
      <c r="A159" s="18">
        <v>1158</v>
      </c>
      <c r="B159" s="27">
        <v>46131</v>
      </c>
      <c r="C159" s="18" t="s">
        <v>43</v>
      </c>
      <c r="D159" s="18" t="s">
        <v>31</v>
      </c>
      <c r="E159" s="18" t="s">
        <v>91</v>
      </c>
      <c r="F159" s="18" t="s">
        <v>24</v>
      </c>
      <c r="G159" s="18" t="s">
        <v>63</v>
      </c>
      <c r="H159" s="18">
        <v>14</v>
      </c>
      <c r="I159" s="18">
        <v>898.66</v>
      </c>
      <c r="J159" s="18">
        <v>0.1</v>
      </c>
      <c r="K159" s="18">
        <v>11323.12</v>
      </c>
      <c r="L159" s="18" t="s">
        <v>35</v>
      </c>
      <c r="M159" s="18" t="s">
        <v>36</v>
      </c>
    </row>
    <row r="160" spans="1:13" x14ac:dyDescent="0.35">
      <c r="A160" s="18">
        <v>1159</v>
      </c>
      <c r="B160" s="27">
        <v>45768</v>
      </c>
      <c r="C160" s="18" t="s">
        <v>21</v>
      </c>
      <c r="D160" s="18" t="s">
        <v>22</v>
      </c>
      <c r="E160" s="18" t="s">
        <v>85</v>
      </c>
      <c r="F160" s="18" t="s">
        <v>17</v>
      </c>
      <c r="G160" s="18" t="s">
        <v>46</v>
      </c>
      <c r="H160" s="18">
        <v>5</v>
      </c>
      <c r="I160" s="18">
        <v>682.4</v>
      </c>
      <c r="J160" s="18">
        <v>0.05</v>
      </c>
      <c r="K160" s="18">
        <v>3241.4</v>
      </c>
      <c r="L160" s="18" t="s">
        <v>35</v>
      </c>
      <c r="M160" s="18" t="s">
        <v>26</v>
      </c>
    </row>
    <row r="161" spans="1:13" x14ac:dyDescent="0.35">
      <c r="A161" s="18">
        <v>1160</v>
      </c>
      <c r="B161" s="27">
        <v>45680</v>
      </c>
      <c r="C161" s="18" t="s">
        <v>14</v>
      </c>
      <c r="D161" s="18" t="s">
        <v>22</v>
      </c>
      <c r="E161" s="18" t="s">
        <v>50</v>
      </c>
      <c r="F161" s="18" t="s">
        <v>33</v>
      </c>
      <c r="G161" s="18" t="s">
        <v>34</v>
      </c>
      <c r="H161" s="18">
        <v>4</v>
      </c>
      <c r="I161" s="18">
        <v>986.26</v>
      </c>
      <c r="J161" s="18">
        <v>0</v>
      </c>
      <c r="K161" s="18">
        <v>3945.04</v>
      </c>
      <c r="L161" s="18" t="s">
        <v>39</v>
      </c>
      <c r="M161" s="18" t="s">
        <v>26</v>
      </c>
    </row>
    <row r="162" spans="1:13" x14ac:dyDescent="0.35">
      <c r="A162" s="18">
        <v>1161</v>
      </c>
      <c r="B162" s="27">
        <v>45753</v>
      </c>
      <c r="C162" s="18" t="s">
        <v>27</v>
      </c>
      <c r="D162" s="18" t="s">
        <v>47</v>
      </c>
      <c r="E162" s="18" t="s">
        <v>80</v>
      </c>
      <c r="F162" s="18" t="s">
        <v>24</v>
      </c>
      <c r="G162" s="18" t="s">
        <v>38</v>
      </c>
      <c r="H162" s="18">
        <v>6</v>
      </c>
      <c r="I162" s="18">
        <v>1198.32</v>
      </c>
      <c r="J162" s="18">
        <v>0.15</v>
      </c>
      <c r="K162" s="18">
        <v>6111.43</v>
      </c>
      <c r="L162" s="18" t="s">
        <v>39</v>
      </c>
      <c r="M162" s="18" t="s">
        <v>36</v>
      </c>
    </row>
    <row r="163" spans="1:13" x14ac:dyDescent="0.35">
      <c r="A163" s="18">
        <v>1162</v>
      </c>
      <c r="B163" s="27">
        <v>46060</v>
      </c>
      <c r="C163" s="18" t="s">
        <v>14</v>
      </c>
      <c r="D163" s="18" t="s">
        <v>54</v>
      </c>
      <c r="E163" s="18" t="s">
        <v>48</v>
      </c>
      <c r="F163" s="18" t="s">
        <v>33</v>
      </c>
      <c r="G163" s="18" t="s">
        <v>61</v>
      </c>
      <c r="H163" s="18">
        <v>9</v>
      </c>
      <c r="I163" s="18">
        <v>912.23</v>
      </c>
      <c r="J163" s="18">
        <v>0.15</v>
      </c>
      <c r="K163" s="18">
        <v>6978.56</v>
      </c>
      <c r="L163" s="18" t="s">
        <v>39</v>
      </c>
      <c r="M163" s="18" t="s">
        <v>20</v>
      </c>
    </row>
    <row r="164" spans="1:13" x14ac:dyDescent="0.35">
      <c r="A164" s="18">
        <v>1163</v>
      </c>
      <c r="B164" s="27">
        <v>46009</v>
      </c>
      <c r="C164" s="18" t="s">
        <v>14</v>
      </c>
      <c r="D164" s="18" t="s">
        <v>28</v>
      </c>
      <c r="E164" s="18" t="s">
        <v>82</v>
      </c>
      <c r="F164" s="18" t="s">
        <v>33</v>
      </c>
      <c r="G164" s="18" t="s">
        <v>34</v>
      </c>
      <c r="H164" s="18">
        <v>10</v>
      </c>
      <c r="I164" s="18">
        <v>680.99</v>
      </c>
      <c r="J164" s="18">
        <v>0.15</v>
      </c>
      <c r="K164" s="18">
        <v>5788.41</v>
      </c>
      <c r="L164" s="18" t="s">
        <v>39</v>
      </c>
      <c r="M164" s="18" t="s">
        <v>26</v>
      </c>
    </row>
    <row r="165" spans="1:13" x14ac:dyDescent="0.35">
      <c r="A165" s="18">
        <v>1164</v>
      </c>
      <c r="B165" s="27">
        <v>45711</v>
      </c>
      <c r="C165" s="18" t="s">
        <v>21</v>
      </c>
      <c r="D165" s="18" t="s">
        <v>28</v>
      </c>
      <c r="E165" s="18" t="s">
        <v>65</v>
      </c>
      <c r="F165" s="18" t="s">
        <v>33</v>
      </c>
      <c r="G165" s="18" t="s">
        <v>34</v>
      </c>
      <c r="H165" s="18">
        <v>9</v>
      </c>
      <c r="I165" s="18">
        <v>724.93</v>
      </c>
      <c r="J165" s="18">
        <v>0.1</v>
      </c>
      <c r="K165" s="18">
        <v>5871.93</v>
      </c>
      <c r="L165" s="18" t="s">
        <v>19</v>
      </c>
      <c r="M165" s="18" t="s">
        <v>20</v>
      </c>
    </row>
    <row r="166" spans="1:13" x14ac:dyDescent="0.35">
      <c r="A166" s="18">
        <v>1165</v>
      </c>
      <c r="B166" s="27">
        <v>46058</v>
      </c>
      <c r="C166" s="18" t="s">
        <v>21</v>
      </c>
      <c r="D166" s="18" t="s">
        <v>47</v>
      </c>
      <c r="E166" s="18" t="s">
        <v>111</v>
      </c>
      <c r="F166" s="18" t="s">
        <v>17</v>
      </c>
      <c r="G166" s="18" t="s">
        <v>18</v>
      </c>
      <c r="H166" s="18">
        <v>2</v>
      </c>
      <c r="I166" s="18">
        <v>436.09</v>
      </c>
      <c r="J166" s="18">
        <v>0.15</v>
      </c>
      <c r="K166" s="18">
        <v>741.35</v>
      </c>
      <c r="L166" s="18" t="s">
        <v>19</v>
      </c>
      <c r="M166" s="18" t="s">
        <v>26</v>
      </c>
    </row>
    <row r="167" spans="1:13" x14ac:dyDescent="0.35">
      <c r="A167" s="18">
        <v>1166</v>
      </c>
      <c r="B167" s="27">
        <v>46074</v>
      </c>
      <c r="C167" s="18" t="s">
        <v>21</v>
      </c>
      <c r="D167" s="18" t="s">
        <v>47</v>
      </c>
      <c r="E167" s="18" t="s">
        <v>113</v>
      </c>
      <c r="F167" s="18" t="s">
        <v>24</v>
      </c>
      <c r="G167" s="18" t="s">
        <v>63</v>
      </c>
      <c r="H167" s="18">
        <v>4</v>
      </c>
      <c r="I167" s="18">
        <v>357.46</v>
      </c>
      <c r="J167" s="18">
        <v>0</v>
      </c>
      <c r="K167" s="18">
        <v>1429.84</v>
      </c>
      <c r="L167" s="18" t="s">
        <v>39</v>
      </c>
      <c r="M167" s="18" t="s">
        <v>20</v>
      </c>
    </row>
    <row r="168" spans="1:13" x14ac:dyDescent="0.35">
      <c r="A168" s="18">
        <v>1167</v>
      </c>
      <c r="B168" s="27">
        <v>46160</v>
      </c>
      <c r="C168" s="18" t="s">
        <v>43</v>
      </c>
      <c r="D168" s="18" t="s">
        <v>15</v>
      </c>
      <c r="E168" s="18" t="s">
        <v>97</v>
      </c>
      <c r="F168" s="18" t="s">
        <v>17</v>
      </c>
      <c r="G168" s="18" t="s">
        <v>30</v>
      </c>
      <c r="H168" s="18">
        <v>8</v>
      </c>
      <c r="I168" s="18">
        <v>946.07</v>
      </c>
      <c r="J168" s="18">
        <v>0</v>
      </c>
      <c r="K168" s="18">
        <v>7568.56</v>
      </c>
      <c r="L168" s="18" t="s">
        <v>39</v>
      </c>
      <c r="M168" s="18" t="s">
        <v>36</v>
      </c>
    </row>
    <row r="169" spans="1:13" x14ac:dyDescent="0.35">
      <c r="A169" s="18">
        <v>1168</v>
      </c>
      <c r="B169" s="27">
        <v>45846</v>
      </c>
      <c r="C169" s="18" t="s">
        <v>43</v>
      </c>
      <c r="D169" s="18" t="s">
        <v>28</v>
      </c>
      <c r="E169" s="18" t="s">
        <v>64</v>
      </c>
      <c r="F169" s="18" t="s">
        <v>17</v>
      </c>
      <c r="G169" s="18" t="s">
        <v>46</v>
      </c>
      <c r="H169" s="18">
        <v>10</v>
      </c>
      <c r="I169" s="18">
        <v>88.83</v>
      </c>
      <c r="J169" s="18">
        <v>0</v>
      </c>
      <c r="K169" s="18">
        <v>888.3</v>
      </c>
      <c r="L169" s="18" t="s">
        <v>39</v>
      </c>
      <c r="M169" s="18" t="s">
        <v>20</v>
      </c>
    </row>
    <row r="170" spans="1:13" x14ac:dyDescent="0.35">
      <c r="A170" s="18">
        <v>1169</v>
      </c>
      <c r="B170" s="27">
        <v>45916</v>
      </c>
      <c r="C170" s="18" t="s">
        <v>43</v>
      </c>
      <c r="D170" s="18" t="s">
        <v>15</v>
      </c>
      <c r="E170" s="18" t="s">
        <v>72</v>
      </c>
      <c r="F170" s="18" t="s">
        <v>24</v>
      </c>
      <c r="G170" s="18" t="s">
        <v>38</v>
      </c>
      <c r="H170" s="18">
        <v>3</v>
      </c>
      <c r="I170" s="18">
        <v>649.34</v>
      </c>
      <c r="J170" s="18">
        <v>0.05</v>
      </c>
      <c r="K170" s="18">
        <v>1850.62</v>
      </c>
      <c r="L170" s="18" t="s">
        <v>19</v>
      </c>
      <c r="M170" s="18" t="s">
        <v>20</v>
      </c>
    </row>
    <row r="171" spans="1:13" x14ac:dyDescent="0.35">
      <c r="A171" s="18">
        <v>1170</v>
      </c>
      <c r="B171" s="27">
        <v>45703</v>
      </c>
      <c r="C171" s="18" t="s">
        <v>21</v>
      </c>
      <c r="D171" s="18" t="s">
        <v>54</v>
      </c>
      <c r="E171" s="18" t="s">
        <v>62</v>
      </c>
      <c r="F171" s="18" t="s">
        <v>24</v>
      </c>
      <c r="G171" s="18" t="s">
        <v>63</v>
      </c>
      <c r="H171" s="18">
        <v>3</v>
      </c>
      <c r="I171" s="18">
        <v>767.25</v>
      </c>
      <c r="J171" s="18">
        <v>0.15</v>
      </c>
      <c r="K171" s="18">
        <v>1956.49</v>
      </c>
      <c r="L171" s="18" t="s">
        <v>39</v>
      </c>
      <c r="M171" s="18" t="s">
        <v>20</v>
      </c>
    </row>
    <row r="172" spans="1:13" x14ac:dyDescent="0.35">
      <c r="A172" s="18">
        <v>1171</v>
      </c>
      <c r="B172" s="27">
        <v>45748</v>
      </c>
      <c r="C172" s="18" t="s">
        <v>43</v>
      </c>
      <c r="D172" s="18" t="s">
        <v>31</v>
      </c>
      <c r="E172" s="18" t="s">
        <v>45</v>
      </c>
      <c r="F172" s="18" t="s">
        <v>33</v>
      </c>
      <c r="G172" s="18" t="s">
        <v>53</v>
      </c>
      <c r="H172" s="18">
        <v>8</v>
      </c>
      <c r="I172" s="18">
        <v>1022.32</v>
      </c>
      <c r="J172" s="18">
        <v>0</v>
      </c>
      <c r="K172" s="18">
        <v>8178.56</v>
      </c>
      <c r="L172" s="18" t="s">
        <v>35</v>
      </c>
      <c r="M172" s="18" t="s">
        <v>26</v>
      </c>
    </row>
    <row r="173" spans="1:13" x14ac:dyDescent="0.35">
      <c r="A173" s="18">
        <v>1172</v>
      </c>
      <c r="B173" s="27">
        <v>45852</v>
      </c>
      <c r="C173" s="18" t="s">
        <v>27</v>
      </c>
      <c r="D173" s="18" t="s">
        <v>22</v>
      </c>
      <c r="E173" s="18" t="s">
        <v>65</v>
      </c>
      <c r="F173" s="18" t="s">
        <v>33</v>
      </c>
      <c r="G173" s="18" t="s">
        <v>61</v>
      </c>
      <c r="H173" s="18">
        <v>6</v>
      </c>
      <c r="I173" s="18">
        <v>373.19</v>
      </c>
      <c r="J173" s="18">
        <v>0</v>
      </c>
      <c r="K173" s="18">
        <v>2239.14</v>
      </c>
      <c r="L173" s="18" t="s">
        <v>19</v>
      </c>
      <c r="M173" s="18" t="s">
        <v>36</v>
      </c>
    </row>
    <row r="174" spans="1:13" x14ac:dyDescent="0.35">
      <c r="A174" s="18">
        <v>1173</v>
      </c>
      <c r="B174" s="27">
        <v>46000</v>
      </c>
      <c r="C174" s="18" t="s">
        <v>21</v>
      </c>
      <c r="D174" s="18" t="s">
        <v>54</v>
      </c>
      <c r="E174" s="18" t="s">
        <v>112</v>
      </c>
      <c r="F174" s="18" t="s">
        <v>33</v>
      </c>
      <c r="G174" s="18" t="s">
        <v>34</v>
      </c>
      <c r="H174" s="18">
        <v>7</v>
      </c>
      <c r="I174" s="18">
        <v>859.04</v>
      </c>
      <c r="J174" s="18">
        <v>0</v>
      </c>
      <c r="K174" s="18">
        <v>6013.28</v>
      </c>
      <c r="L174" s="18" t="s">
        <v>35</v>
      </c>
      <c r="M174" s="18" t="s">
        <v>36</v>
      </c>
    </row>
    <row r="175" spans="1:13" x14ac:dyDescent="0.35">
      <c r="A175" s="18">
        <v>1174</v>
      </c>
      <c r="B175" s="27">
        <v>46171</v>
      </c>
      <c r="C175" s="18" t="s">
        <v>14</v>
      </c>
      <c r="D175" s="18" t="s">
        <v>47</v>
      </c>
      <c r="E175" s="18" t="s">
        <v>65</v>
      </c>
      <c r="F175" s="18" t="s">
        <v>24</v>
      </c>
      <c r="G175" s="18" t="s">
        <v>63</v>
      </c>
      <c r="H175" s="18">
        <v>1</v>
      </c>
      <c r="I175" s="18">
        <v>1003.21</v>
      </c>
      <c r="J175" s="18">
        <v>0</v>
      </c>
      <c r="K175" s="18">
        <v>1003.21</v>
      </c>
      <c r="L175" s="18" t="s">
        <v>39</v>
      </c>
      <c r="M175" s="18" t="s">
        <v>36</v>
      </c>
    </row>
    <row r="176" spans="1:13" x14ac:dyDescent="0.35">
      <c r="A176" s="18">
        <v>1175</v>
      </c>
      <c r="B176" s="27">
        <v>46071</v>
      </c>
      <c r="C176" s="18" t="s">
        <v>14</v>
      </c>
      <c r="D176" s="18" t="s">
        <v>28</v>
      </c>
      <c r="E176" s="18" t="s">
        <v>48</v>
      </c>
      <c r="F176" s="18" t="s">
        <v>24</v>
      </c>
      <c r="G176" s="18" t="s">
        <v>63</v>
      </c>
      <c r="H176" s="18">
        <v>3</v>
      </c>
      <c r="I176" s="18">
        <v>121.71</v>
      </c>
      <c r="J176" s="18">
        <v>0.15</v>
      </c>
      <c r="K176" s="18">
        <v>310.36</v>
      </c>
      <c r="L176" s="18" t="s">
        <v>19</v>
      </c>
      <c r="M176" s="18" t="s">
        <v>26</v>
      </c>
    </row>
    <row r="177" spans="1:13" x14ac:dyDescent="0.35">
      <c r="A177" s="18">
        <v>1176</v>
      </c>
      <c r="B177" s="27">
        <v>45780</v>
      </c>
      <c r="C177" s="18" t="s">
        <v>21</v>
      </c>
      <c r="D177" s="18" t="s">
        <v>15</v>
      </c>
      <c r="E177" s="18" t="s">
        <v>32</v>
      </c>
      <c r="F177" s="18" t="s">
        <v>33</v>
      </c>
      <c r="G177" s="18" t="s">
        <v>53</v>
      </c>
      <c r="H177" s="18">
        <v>3</v>
      </c>
      <c r="I177" s="18">
        <v>729.99</v>
      </c>
      <c r="J177" s="18">
        <v>0.15</v>
      </c>
      <c r="K177" s="18">
        <v>1861.47</v>
      </c>
      <c r="L177" s="18" t="s">
        <v>35</v>
      </c>
      <c r="M177" s="18" t="s">
        <v>36</v>
      </c>
    </row>
    <row r="178" spans="1:13" x14ac:dyDescent="0.35">
      <c r="A178" s="18">
        <v>1177</v>
      </c>
      <c r="B178" s="27">
        <v>45701</v>
      </c>
      <c r="C178" s="18" t="s">
        <v>43</v>
      </c>
      <c r="D178" s="18" t="s">
        <v>31</v>
      </c>
      <c r="E178" s="18" t="s">
        <v>59</v>
      </c>
      <c r="F178" s="18" t="s">
        <v>33</v>
      </c>
      <c r="G178" s="18" t="s">
        <v>53</v>
      </c>
      <c r="H178" s="18">
        <v>15</v>
      </c>
      <c r="I178" s="18">
        <v>486.05</v>
      </c>
      <c r="J178" s="18">
        <v>0.05</v>
      </c>
      <c r="K178" s="18">
        <v>6926.21</v>
      </c>
      <c r="L178" s="18" t="s">
        <v>39</v>
      </c>
      <c r="M178" s="18" t="s">
        <v>36</v>
      </c>
    </row>
    <row r="179" spans="1:13" x14ac:dyDescent="0.35">
      <c r="A179" s="18">
        <v>1178</v>
      </c>
      <c r="B179" s="27">
        <v>45977</v>
      </c>
      <c r="C179" s="18" t="s">
        <v>27</v>
      </c>
      <c r="D179" s="18" t="s">
        <v>28</v>
      </c>
      <c r="E179" s="18" t="s">
        <v>51</v>
      </c>
      <c r="F179" s="18" t="s">
        <v>24</v>
      </c>
      <c r="G179" s="18" t="s">
        <v>38</v>
      </c>
      <c r="H179" s="18">
        <v>1</v>
      </c>
      <c r="I179" s="18">
        <v>778.23</v>
      </c>
      <c r="J179" s="18">
        <v>0.1</v>
      </c>
      <c r="K179" s="18">
        <v>700.41</v>
      </c>
      <c r="L179" s="18" t="s">
        <v>39</v>
      </c>
      <c r="M179" s="18" t="s">
        <v>20</v>
      </c>
    </row>
    <row r="180" spans="1:13" x14ac:dyDescent="0.35">
      <c r="A180" s="18">
        <v>1179</v>
      </c>
      <c r="B180" s="27">
        <v>46038</v>
      </c>
      <c r="C180" s="18" t="s">
        <v>21</v>
      </c>
      <c r="D180" s="18" t="s">
        <v>22</v>
      </c>
      <c r="E180" s="18" t="s">
        <v>115</v>
      </c>
      <c r="F180" s="18" t="s">
        <v>17</v>
      </c>
      <c r="G180" s="18" t="s">
        <v>46</v>
      </c>
      <c r="H180" s="18">
        <v>13</v>
      </c>
      <c r="I180" s="18">
        <v>337.8</v>
      </c>
      <c r="J180" s="18">
        <v>0.05</v>
      </c>
      <c r="K180" s="18">
        <v>4171.83</v>
      </c>
      <c r="L180" s="18" t="s">
        <v>19</v>
      </c>
      <c r="M180" s="18" t="s">
        <v>36</v>
      </c>
    </row>
    <row r="181" spans="1:13" x14ac:dyDescent="0.35">
      <c r="A181" s="18">
        <v>1180</v>
      </c>
      <c r="B181" s="27">
        <v>45805</v>
      </c>
      <c r="C181" s="18" t="s">
        <v>43</v>
      </c>
      <c r="D181" s="18" t="s">
        <v>22</v>
      </c>
      <c r="E181" s="18" t="s">
        <v>92</v>
      </c>
      <c r="F181" s="18" t="s">
        <v>33</v>
      </c>
      <c r="G181" s="18" t="s">
        <v>61</v>
      </c>
      <c r="H181" s="18">
        <v>8</v>
      </c>
      <c r="I181" s="18">
        <v>903.97</v>
      </c>
      <c r="J181" s="18">
        <v>0.1</v>
      </c>
      <c r="K181" s="18">
        <v>6508.58</v>
      </c>
      <c r="L181" s="18" t="s">
        <v>39</v>
      </c>
      <c r="M181" s="18" t="s">
        <v>26</v>
      </c>
    </row>
    <row r="182" spans="1:13" x14ac:dyDescent="0.35">
      <c r="A182" s="18">
        <v>1181</v>
      </c>
      <c r="B182" s="27">
        <v>46131</v>
      </c>
      <c r="C182" s="18" t="s">
        <v>43</v>
      </c>
      <c r="D182" s="18" t="s">
        <v>47</v>
      </c>
      <c r="E182" s="18" t="s">
        <v>119</v>
      </c>
      <c r="F182" s="18" t="s">
        <v>17</v>
      </c>
      <c r="G182" s="18" t="s">
        <v>46</v>
      </c>
      <c r="H182" s="18">
        <v>14</v>
      </c>
      <c r="I182" s="18">
        <v>674.16</v>
      </c>
      <c r="J182" s="18">
        <v>0.1</v>
      </c>
      <c r="K182" s="18">
        <v>8494.42</v>
      </c>
      <c r="L182" s="18" t="s">
        <v>35</v>
      </c>
      <c r="M182" s="18" t="s">
        <v>26</v>
      </c>
    </row>
    <row r="183" spans="1:13" x14ac:dyDescent="0.35">
      <c r="A183" s="18">
        <v>1182</v>
      </c>
      <c r="B183" s="27">
        <v>46111</v>
      </c>
      <c r="C183" s="18" t="s">
        <v>43</v>
      </c>
      <c r="D183" s="18" t="s">
        <v>22</v>
      </c>
      <c r="E183" s="18" t="s">
        <v>87</v>
      </c>
      <c r="F183" s="18" t="s">
        <v>33</v>
      </c>
      <c r="G183" s="18" t="s">
        <v>34</v>
      </c>
      <c r="H183" s="18">
        <v>1</v>
      </c>
      <c r="I183" s="18">
        <v>679.37</v>
      </c>
      <c r="J183" s="18">
        <v>0.05</v>
      </c>
      <c r="K183" s="18">
        <v>645.4</v>
      </c>
      <c r="L183" s="18" t="s">
        <v>35</v>
      </c>
      <c r="M183" s="18" t="s">
        <v>20</v>
      </c>
    </row>
    <row r="184" spans="1:13" x14ac:dyDescent="0.35">
      <c r="A184" s="18">
        <v>1183</v>
      </c>
      <c r="B184" s="27">
        <v>45767</v>
      </c>
      <c r="C184" s="18" t="s">
        <v>14</v>
      </c>
      <c r="D184" s="18" t="s">
        <v>47</v>
      </c>
      <c r="E184" s="18" t="s">
        <v>84</v>
      </c>
      <c r="F184" s="18" t="s">
        <v>33</v>
      </c>
      <c r="G184" s="18" t="s">
        <v>34</v>
      </c>
      <c r="H184" s="18">
        <v>1</v>
      </c>
      <c r="I184" s="18">
        <v>1039.8</v>
      </c>
      <c r="J184" s="18">
        <v>0.15</v>
      </c>
      <c r="K184" s="18">
        <v>883.83</v>
      </c>
      <c r="L184" s="18" t="s">
        <v>39</v>
      </c>
      <c r="M184" s="18" t="s">
        <v>26</v>
      </c>
    </row>
    <row r="185" spans="1:13" x14ac:dyDescent="0.35">
      <c r="A185" s="18">
        <v>1184</v>
      </c>
      <c r="B185" s="27">
        <v>46167</v>
      </c>
      <c r="C185" s="18" t="s">
        <v>27</v>
      </c>
      <c r="D185" s="18" t="s">
        <v>47</v>
      </c>
      <c r="E185" s="18" t="s">
        <v>57</v>
      </c>
      <c r="F185" s="18" t="s">
        <v>33</v>
      </c>
      <c r="G185" s="18" t="s">
        <v>34</v>
      </c>
      <c r="H185" s="18">
        <v>1</v>
      </c>
      <c r="I185" s="18">
        <v>1164.6099999999999</v>
      </c>
      <c r="J185" s="18">
        <v>0.05</v>
      </c>
      <c r="K185" s="18">
        <v>1106.3800000000001</v>
      </c>
      <c r="L185" s="18" t="s">
        <v>19</v>
      </c>
      <c r="M185" s="18" t="s">
        <v>20</v>
      </c>
    </row>
    <row r="186" spans="1:13" x14ac:dyDescent="0.35">
      <c r="A186" s="18">
        <v>1185</v>
      </c>
      <c r="B186" s="27">
        <v>45826</v>
      </c>
      <c r="C186" s="18" t="s">
        <v>43</v>
      </c>
      <c r="D186" s="18" t="s">
        <v>47</v>
      </c>
      <c r="E186" s="18" t="s">
        <v>64</v>
      </c>
      <c r="F186" s="18" t="s">
        <v>33</v>
      </c>
      <c r="G186" s="18" t="s">
        <v>53</v>
      </c>
      <c r="H186" s="18">
        <v>14</v>
      </c>
      <c r="I186" s="18">
        <v>251.62</v>
      </c>
      <c r="J186" s="18">
        <v>0.15</v>
      </c>
      <c r="K186" s="18">
        <v>2994.28</v>
      </c>
      <c r="L186" s="18" t="s">
        <v>19</v>
      </c>
      <c r="M186" s="18" t="s">
        <v>26</v>
      </c>
    </row>
    <row r="187" spans="1:13" x14ac:dyDescent="0.35">
      <c r="A187" s="18">
        <v>1186</v>
      </c>
      <c r="B187" s="27">
        <v>46155</v>
      </c>
      <c r="C187" s="18" t="s">
        <v>27</v>
      </c>
      <c r="D187" s="18" t="s">
        <v>15</v>
      </c>
      <c r="E187" s="18" t="s">
        <v>41</v>
      </c>
      <c r="F187" s="18" t="s">
        <v>33</v>
      </c>
      <c r="G187" s="18" t="s">
        <v>61</v>
      </c>
      <c r="H187" s="18">
        <v>6</v>
      </c>
      <c r="I187" s="18">
        <v>360.82</v>
      </c>
      <c r="J187" s="18">
        <v>0.15</v>
      </c>
      <c r="K187" s="18">
        <v>1840.18</v>
      </c>
      <c r="L187" s="18" t="s">
        <v>39</v>
      </c>
      <c r="M187" s="18" t="s">
        <v>20</v>
      </c>
    </row>
    <row r="188" spans="1:13" x14ac:dyDescent="0.35">
      <c r="A188" s="18">
        <v>1187</v>
      </c>
      <c r="B188" s="27">
        <v>46194</v>
      </c>
      <c r="C188" s="18" t="s">
        <v>27</v>
      </c>
      <c r="D188" s="18" t="s">
        <v>28</v>
      </c>
      <c r="E188" s="18" t="s">
        <v>16</v>
      </c>
      <c r="F188" s="18" t="s">
        <v>33</v>
      </c>
      <c r="G188" s="18" t="s">
        <v>53</v>
      </c>
      <c r="H188" s="18">
        <v>7</v>
      </c>
      <c r="I188" s="18">
        <v>560.34</v>
      </c>
      <c r="J188" s="18">
        <v>0.15</v>
      </c>
      <c r="K188" s="18">
        <v>3334.02</v>
      </c>
      <c r="L188" s="18" t="s">
        <v>19</v>
      </c>
      <c r="M188" s="18" t="s">
        <v>20</v>
      </c>
    </row>
    <row r="189" spans="1:13" x14ac:dyDescent="0.35">
      <c r="A189" s="18">
        <v>1188</v>
      </c>
      <c r="B189" s="27">
        <v>45729</v>
      </c>
      <c r="C189" s="18" t="s">
        <v>27</v>
      </c>
      <c r="D189" s="18" t="s">
        <v>47</v>
      </c>
      <c r="E189" s="18" t="s">
        <v>37</v>
      </c>
      <c r="F189" s="18" t="s">
        <v>17</v>
      </c>
      <c r="G189" s="18" t="s">
        <v>18</v>
      </c>
      <c r="H189" s="18">
        <v>7</v>
      </c>
      <c r="I189" s="18">
        <v>737.42</v>
      </c>
      <c r="J189" s="18">
        <v>0.1</v>
      </c>
      <c r="K189" s="18">
        <v>4645.75</v>
      </c>
      <c r="L189" s="18" t="s">
        <v>19</v>
      </c>
      <c r="M189" s="18" t="s">
        <v>36</v>
      </c>
    </row>
    <row r="190" spans="1:13" x14ac:dyDescent="0.35">
      <c r="A190" s="18">
        <v>1189</v>
      </c>
      <c r="B190" s="27">
        <v>45923</v>
      </c>
      <c r="C190" s="18" t="s">
        <v>21</v>
      </c>
      <c r="D190" s="18" t="s">
        <v>47</v>
      </c>
      <c r="E190" s="18" t="s">
        <v>112</v>
      </c>
      <c r="F190" s="18" t="s">
        <v>17</v>
      </c>
      <c r="G190" s="18" t="s">
        <v>46</v>
      </c>
      <c r="H190" s="18">
        <v>13</v>
      </c>
      <c r="I190" s="18">
        <v>505.05</v>
      </c>
      <c r="J190" s="18">
        <v>0</v>
      </c>
      <c r="K190" s="18">
        <v>6565.65</v>
      </c>
      <c r="L190" s="18" t="s">
        <v>39</v>
      </c>
      <c r="M190" s="18" t="s">
        <v>36</v>
      </c>
    </row>
    <row r="191" spans="1:13" x14ac:dyDescent="0.35">
      <c r="A191" s="18">
        <v>1190</v>
      </c>
      <c r="B191" s="27">
        <v>46172</v>
      </c>
      <c r="C191" s="18" t="s">
        <v>27</v>
      </c>
      <c r="D191" s="18" t="s">
        <v>31</v>
      </c>
      <c r="E191" s="18" t="s">
        <v>81</v>
      </c>
      <c r="F191" s="18" t="s">
        <v>24</v>
      </c>
      <c r="G191" s="18" t="s">
        <v>38</v>
      </c>
      <c r="H191" s="18">
        <v>4</v>
      </c>
      <c r="I191" s="18">
        <v>96.88</v>
      </c>
      <c r="J191" s="18">
        <v>0.1</v>
      </c>
      <c r="K191" s="18">
        <v>348.77</v>
      </c>
      <c r="L191" s="18" t="s">
        <v>19</v>
      </c>
      <c r="M191" s="18" t="s">
        <v>26</v>
      </c>
    </row>
    <row r="192" spans="1:13" x14ac:dyDescent="0.35">
      <c r="A192" s="18">
        <v>1191</v>
      </c>
      <c r="B192" s="27">
        <v>45946</v>
      </c>
      <c r="C192" s="18" t="s">
        <v>27</v>
      </c>
      <c r="D192" s="18" t="s">
        <v>54</v>
      </c>
      <c r="E192" s="18" t="s">
        <v>94</v>
      </c>
      <c r="F192" s="18" t="s">
        <v>17</v>
      </c>
      <c r="G192" s="18" t="s">
        <v>30</v>
      </c>
      <c r="H192" s="18">
        <v>3</v>
      </c>
      <c r="I192" s="18">
        <v>42.16</v>
      </c>
      <c r="J192" s="18">
        <v>0.05</v>
      </c>
      <c r="K192" s="18">
        <v>120.16</v>
      </c>
      <c r="L192" s="18" t="s">
        <v>39</v>
      </c>
      <c r="M192" s="18" t="s">
        <v>36</v>
      </c>
    </row>
    <row r="193" spans="1:13" x14ac:dyDescent="0.35">
      <c r="A193" s="18">
        <v>1192</v>
      </c>
      <c r="B193" s="27">
        <v>46038</v>
      </c>
      <c r="C193" s="18" t="s">
        <v>14</v>
      </c>
      <c r="D193" s="18" t="s">
        <v>28</v>
      </c>
      <c r="E193" s="18" t="s">
        <v>112</v>
      </c>
      <c r="F193" s="18" t="s">
        <v>24</v>
      </c>
      <c r="G193" s="18" t="s">
        <v>63</v>
      </c>
      <c r="H193" s="18">
        <v>10</v>
      </c>
      <c r="I193" s="18">
        <v>825.57</v>
      </c>
      <c r="J193" s="18">
        <v>0.05</v>
      </c>
      <c r="K193" s="18">
        <v>7842.91</v>
      </c>
      <c r="L193" s="18" t="s">
        <v>39</v>
      </c>
      <c r="M193" s="18" t="s">
        <v>26</v>
      </c>
    </row>
    <row r="194" spans="1:13" x14ac:dyDescent="0.35">
      <c r="A194" s="18">
        <v>1193</v>
      </c>
      <c r="B194" s="27">
        <v>45869</v>
      </c>
      <c r="C194" s="18" t="s">
        <v>43</v>
      </c>
      <c r="D194" s="18" t="s">
        <v>28</v>
      </c>
      <c r="E194" s="18" t="s">
        <v>79</v>
      </c>
      <c r="F194" s="18" t="s">
        <v>24</v>
      </c>
      <c r="G194" s="18" t="s">
        <v>25</v>
      </c>
      <c r="H194" s="18">
        <v>11</v>
      </c>
      <c r="I194" s="18">
        <v>1158.05</v>
      </c>
      <c r="J194" s="18">
        <v>0</v>
      </c>
      <c r="K194" s="18">
        <v>12738.55</v>
      </c>
      <c r="L194" s="18" t="s">
        <v>19</v>
      </c>
      <c r="M194" s="18" t="s">
        <v>36</v>
      </c>
    </row>
    <row r="195" spans="1:13" x14ac:dyDescent="0.35">
      <c r="A195" s="18">
        <v>1194</v>
      </c>
      <c r="B195" s="27">
        <v>46158</v>
      </c>
      <c r="C195" s="18" t="s">
        <v>27</v>
      </c>
      <c r="D195" s="18" t="s">
        <v>15</v>
      </c>
      <c r="E195" s="18" t="s">
        <v>91</v>
      </c>
      <c r="F195" s="18" t="s">
        <v>33</v>
      </c>
      <c r="G195" s="18" t="s">
        <v>61</v>
      </c>
      <c r="H195" s="18">
        <v>6</v>
      </c>
      <c r="I195" s="18">
        <v>1041.3</v>
      </c>
      <c r="J195" s="18">
        <v>0.15</v>
      </c>
      <c r="K195" s="18">
        <v>5310.63</v>
      </c>
      <c r="L195" s="18" t="s">
        <v>19</v>
      </c>
      <c r="M195" s="18" t="s">
        <v>36</v>
      </c>
    </row>
    <row r="196" spans="1:13" x14ac:dyDescent="0.35">
      <c r="A196" s="18">
        <v>1195</v>
      </c>
      <c r="B196" s="27">
        <v>46170</v>
      </c>
      <c r="C196" s="18" t="s">
        <v>43</v>
      </c>
      <c r="D196" s="18" t="s">
        <v>22</v>
      </c>
      <c r="E196" s="18" t="s">
        <v>77</v>
      </c>
      <c r="F196" s="18" t="s">
        <v>24</v>
      </c>
      <c r="G196" s="18" t="s">
        <v>38</v>
      </c>
      <c r="H196" s="18">
        <v>14</v>
      </c>
      <c r="I196" s="18">
        <v>162.52000000000001</v>
      </c>
      <c r="J196" s="18">
        <v>0.05</v>
      </c>
      <c r="K196" s="18">
        <v>2161.52</v>
      </c>
      <c r="L196" s="18" t="s">
        <v>19</v>
      </c>
      <c r="M196" s="18" t="s">
        <v>26</v>
      </c>
    </row>
    <row r="197" spans="1:13" x14ac:dyDescent="0.35">
      <c r="A197" s="18">
        <v>1196</v>
      </c>
      <c r="B197" s="27">
        <v>46064</v>
      </c>
      <c r="C197" s="18" t="s">
        <v>21</v>
      </c>
      <c r="D197" s="18" t="s">
        <v>28</v>
      </c>
      <c r="E197" s="18" t="s">
        <v>55</v>
      </c>
      <c r="F197" s="18" t="s">
        <v>33</v>
      </c>
      <c r="G197" s="18" t="s">
        <v>61</v>
      </c>
      <c r="H197" s="18">
        <v>13</v>
      </c>
      <c r="I197" s="18">
        <v>726.17</v>
      </c>
      <c r="J197" s="18">
        <v>0</v>
      </c>
      <c r="K197" s="18">
        <v>9440.2099999999991</v>
      </c>
      <c r="L197" s="18" t="s">
        <v>35</v>
      </c>
      <c r="M197" s="18" t="s">
        <v>26</v>
      </c>
    </row>
    <row r="198" spans="1:13" x14ac:dyDescent="0.35">
      <c r="A198" s="18">
        <v>1197</v>
      </c>
      <c r="B198" s="27">
        <v>45925</v>
      </c>
      <c r="C198" s="18" t="s">
        <v>27</v>
      </c>
      <c r="D198" s="18" t="s">
        <v>31</v>
      </c>
      <c r="E198" s="18" t="s">
        <v>75</v>
      </c>
      <c r="F198" s="18" t="s">
        <v>33</v>
      </c>
      <c r="G198" s="18" t="s">
        <v>53</v>
      </c>
      <c r="H198" s="18">
        <v>3</v>
      </c>
      <c r="I198" s="18">
        <v>358.72</v>
      </c>
      <c r="J198" s="18">
        <v>0.05</v>
      </c>
      <c r="K198" s="18">
        <v>1022.35</v>
      </c>
      <c r="L198" s="18" t="s">
        <v>39</v>
      </c>
      <c r="M198" s="18" t="s">
        <v>26</v>
      </c>
    </row>
    <row r="199" spans="1:13" x14ac:dyDescent="0.35">
      <c r="A199" s="18">
        <v>1198</v>
      </c>
      <c r="B199" s="27">
        <v>45775</v>
      </c>
      <c r="C199" s="18" t="s">
        <v>27</v>
      </c>
      <c r="D199" s="18" t="s">
        <v>31</v>
      </c>
      <c r="E199" s="18" t="s">
        <v>32</v>
      </c>
      <c r="F199" s="18" t="s">
        <v>17</v>
      </c>
      <c r="G199" s="18" t="s">
        <v>18</v>
      </c>
      <c r="H199" s="18">
        <v>11</v>
      </c>
      <c r="I199" s="18">
        <v>1087.1199999999999</v>
      </c>
      <c r="J199" s="18">
        <v>0</v>
      </c>
      <c r="K199" s="18">
        <v>11958.32</v>
      </c>
      <c r="L199" s="18" t="s">
        <v>39</v>
      </c>
      <c r="M199" s="18" t="s">
        <v>36</v>
      </c>
    </row>
    <row r="200" spans="1:13" x14ac:dyDescent="0.35">
      <c r="A200" s="18">
        <v>1199</v>
      </c>
      <c r="B200" s="27">
        <v>45919</v>
      </c>
      <c r="C200" s="18" t="s">
        <v>43</v>
      </c>
      <c r="D200" s="18" t="s">
        <v>15</v>
      </c>
      <c r="E200" s="18" t="s">
        <v>111</v>
      </c>
      <c r="F200" s="18" t="s">
        <v>24</v>
      </c>
      <c r="G200" s="18" t="s">
        <v>38</v>
      </c>
      <c r="H200" s="18">
        <v>3</v>
      </c>
      <c r="I200" s="18">
        <v>1137.8900000000001</v>
      </c>
      <c r="J200" s="18">
        <v>0.1</v>
      </c>
      <c r="K200" s="18">
        <v>3072.3</v>
      </c>
      <c r="L200" s="18" t="s">
        <v>19</v>
      </c>
      <c r="M200" s="18" t="s">
        <v>36</v>
      </c>
    </row>
    <row r="201" spans="1:13" x14ac:dyDescent="0.35">
      <c r="A201" s="18">
        <v>1200</v>
      </c>
      <c r="B201" s="27">
        <v>45978</v>
      </c>
      <c r="C201" s="18" t="s">
        <v>43</v>
      </c>
      <c r="D201" s="18" t="s">
        <v>22</v>
      </c>
      <c r="E201" s="18" t="s">
        <v>85</v>
      </c>
      <c r="F201" s="18" t="s">
        <v>17</v>
      </c>
      <c r="G201" s="18" t="s">
        <v>18</v>
      </c>
      <c r="H201" s="18">
        <v>14</v>
      </c>
      <c r="I201" s="18">
        <v>173.55</v>
      </c>
      <c r="J201" s="18">
        <v>0.1</v>
      </c>
      <c r="K201" s="18">
        <v>2186.73</v>
      </c>
      <c r="L201" s="18" t="s">
        <v>39</v>
      </c>
      <c r="M201" s="18" t="s">
        <v>36</v>
      </c>
    </row>
    <row r="202" spans="1:13" x14ac:dyDescent="0.35">
      <c r="A202" s="18">
        <v>1201</v>
      </c>
      <c r="B202" s="27">
        <v>45852</v>
      </c>
      <c r="C202" s="18" t="s">
        <v>27</v>
      </c>
      <c r="D202" s="18" t="s">
        <v>22</v>
      </c>
      <c r="E202" s="18" t="s">
        <v>75</v>
      </c>
      <c r="F202" s="18" t="s">
        <v>24</v>
      </c>
      <c r="G202" s="18" t="s">
        <v>63</v>
      </c>
      <c r="H202" s="18">
        <v>7</v>
      </c>
      <c r="I202" s="18">
        <v>143.31</v>
      </c>
      <c r="J202" s="18">
        <v>0.1</v>
      </c>
      <c r="K202" s="18">
        <v>902.85</v>
      </c>
      <c r="L202" s="18" t="s">
        <v>19</v>
      </c>
      <c r="M202" s="18" t="s">
        <v>20</v>
      </c>
    </row>
    <row r="203" spans="1:13" x14ac:dyDescent="0.35">
      <c r="A203" s="18">
        <v>1202</v>
      </c>
      <c r="B203" s="27">
        <v>45788</v>
      </c>
      <c r="C203" s="18" t="s">
        <v>43</v>
      </c>
      <c r="D203" s="18" t="s">
        <v>54</v>
      </c>
      <c r="E203" s="18" t="s">
        <v>72</v>
      </c>
      <c r="F203" s="18" t="s">
        <v>17</v>
      </c>
      <c r="G203" s="18" t="s">
        <v>18</v>
      </c>
      <c r="H203" s="18">
        <v>14</v>
      </c>
      <c r="I203" s="18">
        <v>413.43</v>
      </c>
      <c r="J203" s="18">
        <v>0.15</v>
      </c>
      <c r="K203" s="18">
        <v>4919.82</v>
      </c>
      <c r="L203" s="18" t="s">
        <v>35</v>
      </c>
      <c r="M203" s="18" t="s">
        <v>36</v>
      </c>
    </row>
    <row r="204" spans="1:13" x14ac:dyDescent="0.35">
      <c r="A204" s="18">
        <v>1203</v>
      </c>
      <c r="B204" s="27">
        <v>45843</v>
      </c>
      <c r="C204" s="18" t="s">
        <v>27</v>
      </c>
      <c r="D204" s="18" t="s">
        <v>15</v>
      </c>
      <c r="E204" s="18" t="s">
        <v>95</v>
      </c>
      <c r="F204" s="18" t="s">
        <v>24</v>
      </c>
      <c r="G204" s="18" t="s">
        <v>38</v>
      </c>
      <c r="H204" s="18">
        <v>3</v>
      </c>
      <c r="I204" s="18">
        <v>872.67</v>
      </c>
      <c r="J204" s="18">
        <v>0.15</v>
      </c>
      <c r="K204" s="18">
        <v>2225.31</v>
      </c>
      <c r="L204" s="18" t="s">
        <v>39</v>
      </c>
      <c r="M204" s="18" t="s">
        <v>36</v>
      </c>
    </row>
    <row r="205" spans="1:13" x14ac:dyDescent="0.35">
      <c r="A205" s="18">
        <v>1204</v>
      </c>
      <c r="B205" s="27">
        <v>46133</v>
      </c>
      <c r="C205" s="18" t="s">
        <v>14</v>
      </c>
      <c r="D205" s="18" t="s">
        <v>47</v>
      </c>
      <c r="E205" s="18" t="s">
        <v>85</v>
      </c>
      <c r="F205" s="18" t="s">
        <v>24</v>
      </c>
      <c r="G205" s="18" t="s">
        <v>38</v>
      </c>
      <c r="H205" s="18">
        <v>6</v>
      </c>
      <c r="I205" s="18">
        <v>582.33000000000004</v>
      </c>
      <c r="J205" s="18">
        <v>0.05</v>
      </c>
      <c r="K205" s="18">
        <v>3319.28</v>
      </c>
      <c r="L205" s="18" t="s">
        <v>39</v>
      </c>
      <c r="M205" s="18" t="s">
        <v>36</v>
      </c>
    </row>
    <row r="206" spans="1:13" x14ac:dyDescent="0.35">
      <c r="A206" s="18">
        <v>1205</v>
      </c>
      <c r="B206" s="27">
        <v>46031</v>
      </c>
      <c r="C206" s="18" t="s">
        <v>21</v>
      </c>
      <c r="D206" s="18" t="s">
        <v>28</v>
      </c>
      <c r="E206" s="18" t="s">
        <v>51</v>
      </c>
      <c r="F206" s="18" t="s">
        <v>33</v>
      </c>
      <c r="G206" s="18" t="s">
        <v>53</v>
      </c>
      <c r="H206" s="18">
        <v>2</v>
      </c>
      <c r="I206" s="18">
        <v>919.46</v>
      </c>
      <c r="J206" s="18">
        <v>0.05</v>
      </c>
      <c r="K206" s="18">
        <v>1746.97</v>
      </c>
      <c r="L206" s="18" t="s">
        <v>19</v>
      </c>
      <c r="M206" s="18" t="s">
        <v>26</v>
      </c>
    </row>
    <row r="207" spans="1:13" x14ac:dyDescent="0.35">
      <c r="A207" s="18">
        <v>1206</v>
      </c>
      <c r="B207" s="27">
        <v>45917</v>
      </c>
      <c r="C207" s="18" t="s">
        <v>21</v>
      </c>
      <c r="D207" s="18" t="s">
        <v>28</v>
      </c>
      <c r="E207" s="18" t="s">
        <v>110</v>
      </c>
      <c r="F207" s="18" t="s">
        <v>24</v>
      </c>
      <c r="G207" s="18" t="s">
        <v>38</v>
      </c>
      <c r="H207" s="18">
        <v>2</v>
      </c>
      <c r="I207" s="18">
        <v>1097.76</v>
      </c>
      <c r="J207" s="18">
        <v>0.15</v>
      </c>
      <c r="K207" s="18">
        <v>1866.19</v>
      </c>
      <c r="L207" s="18" t="s">
        <v>39</v>
      </c>
      <c r="M207" s="18" t="s">
        <v>26</v>
      </c>
    </row>
    <row r="208" spans="1:13" x14ac:dyDescent="0.35">
      <c r="A208" s="18">
        <v>1207</v>
      </c>
      <c r="B208" s="27">
        <v>46181</v>
      </c>
      <c r="C208" s="18" t="s">
        <v>14</v>
      </c>
      <c r="D208" s="18" t="s">
        <v>28</v>
      </c>
      <c r="E208" s="18" t="s">
        <v>84</v>
      </c>
      <c r="F208" s="18" t="s">
        <v>33</v>
      </c>
      <c r="G208" s="18" t="s">
        <v>34</v>
      </c>
      <c r="H208" s="18">
        <v>13</v>
      </c>
      <c r="I208" s="18">
        <v>395.19</v>
      </c>
      <c r="J208" s="18">
        <v>0.15</v>
      </c>
      <c r="K208" s="18">
        <v>4366.8500000000004</v>
      </c>
      <c r="L208" s="18" t="s">
        <v>35</v>
      </c>
      <c r="M208" s="18" t="s">
        <v>36</v>
      </c>
    </row>
    <row r="209" spans="1:13" x14ac:dyDescent="0.35">
      <c r="A209" s="18">
        <v>1208</v>
      </c>
      <c r="B209" s="27">
        <v>46160</v>
      </c>
      <c r="C209" s="18" t="s">
        <v>27</v>
      </c>
      <c r="D209" s="18" t="s">
        <v>54</v>
      </c>
      <c r="E209" s="18" t="s">
        <v>108</v>
      </c>
      <c r="F209" s="18" t="s">
        <v>17</v>
      </c>
      <c r="G209" s="18" t="s">
        <v>46</v>
      </c>
      <c r="H209" s="18">
        <v>7</v>
      </c>
      <c r="I209" s="18">
        <v>1027.21</v>
      </c>
      <c r="J209" s="18">
        <v>0.1</v>
      </c>
      <c r="K209" s="18">
        <v>6471.42</v>
      </c>
      <c r="L209" s="18" t="s">
        <v>39</v>
      </c>
      <c r="M209" s="18" t="s">
        <v>26</v>
      </c>
    </row>
    <row r="210" spans="1:13" x14ac:dyDescent="0.35">
      <c r="A210" s="18">
        <v>1209</v>
      </c>
      <c r="B210" s="27">
        <v>45994</v>
      </c>
      <c r="C210" s="18" t="s">
        <v>43</v>
      </c>
      <c r="D210" s="18" t="s">
        <v>31</v>
      </c>
      <c r="E210" s="18" t="s">
        <v>106</v>
      </c>
      <c r="F210" s="18" t="s">
        <v>17</v>
      </c>
      <c r="G210" s="18" t="s">
        <v>18</v>
      </c>
      <c r="H210" s="18">
        <v>15</v>
      </c>
      <c r="I210" s="18">
        <v>558.47</v>
      </c>
      <c r="J210" s="18">
        <v>0</v>
      </c>
      <c r="K210" s="18">
        <v>8377.0499999999993</v>
      </c>
      <c r="L210" s="18" t="s">
        <v>35</v>
      </c>
      <c r="M210" s="18" t="s">
        <v>26</v>
      </c>
    </row>
    <row r="211" spans="1:13" x14ac:dyDescent="0.35">
      <c r="A211" s="18">
        <v>1210</v>
      </c>
      <c r="B211" s="27">
        <v>45663</v>
      </c>
      <c r="C211" s="18" t="s">
        <v>27</v>
      </c>
      <c r="D211" s="18" t="s">
        <v>28</v>
      </c>
      <c r="E211" s="18" t="s">
        <v>29</v>
      </c>
      <c r="F211" s="18" t="s">
        <v>17</v>
      </c>
      <c r="G211" s="18" t="s">
        <v>30</v>
      </c>
      <c r="H211" s="18">
        <v>13</v>
      </c>
      <c r="I211" s="18">
        <v>519.66</v>
      </c>
      <c r="J211" s="18">
        <v>0.15</v>
      </c>
      <c r="K211" s="18">
        <v>5742.24</v>
      </c>
      <c r="L211" s="18" t="s">
        <v>19</v>
      </c>
      <c r="M211" s="18" t="s">
        <v>26</v>
      </c>
    </row>
    <row r="212" spans="1:13" x14ac:dyDescent="0.35">
      <c r="A212" s="18">
        <v>1211</v>
      </c>
      <c r="B212" s="27">
        <v>46053</v>
      </c>
      <c r="C212" s="18" t="s">
        <v>27</v>
      </c>
      <c r="D212" s="18" t="s">
        <v>54</v>
      </c>
      <c r="E212" s="18" t="s">
        <v>67</v>
      </c>
      <c r="F212" s="18" t="s">
        <v>17</v>
      </c>
      <c r="G212" s="18" t="s">
        <v>46</v>
      </c>
      <c r="H212" s="18">
        <v>11</v>
      </c>
      <c r="I212" s="18">
        <v>1008.74</v>
      </c>
      <c r="J212" s="18">
        <v>0.05</v>
      </c>
      <c r="K212" s="18">
        <v>10541.33</v>
      </c>
      <c r="L212" s="18" t="s">
        <v>35</v>
      </c>
      <c r="M212" s="18" t="s">
        <v>36</v>
      </c>
    </row>
    <row r="213" spans="1:13" x14ac:dyDescent="0.35">
      <c r="A213" s="18">
        <v>1212</v>
      </c>
      <c r="B213" s="27">
        <v>45834</v>
      </c>
      <c r="C213" s="18" t="s">
        <v>21</v>
      </c>
      <c r="D213" s="18" t="s">
        <v>15</v>
      </c>
      <c r="E213" s="18" t="s">
        <v>101</v>
      </c>
      <c r="F213" s="18" t="s">
        <v>17</v>
      </c>
      <c r="G213" s="18" t="s">
        <v>46</v>
      </c>
      <c r="H213" s="18">
        <v>9</v>
      </c>
      <c r="I213" s="18">
        <v>237.52</v>
      </c>
      <c r="J213" s="18">
        <v>0.1</v>
      </c>
      <c r="K213" s="18">
        <v>1923.91</v>
      </c>
      <c r="L213" s="18" t="s">
        <v>35</v>
      </c>
      <c r="M213" s="18" t="s">
        <v>20</v>
      </c>
    </row>
    <row r="214" spans="1:13" x14ac:dyDescent="0.35">
      <c r="A214" s="18">
        <v>1213</v>
      </c>
      <c r="B214" s="27">
        <v>46049</v>
      </c>
      <c r="C214" s="18" t="s">
        <v>14</v>
      </c>
      <c r="D214" s="18" t="s">
        <v>31</v>
      </c>
      <c r="E214" s="18" t="s">
        <v>115</v>
      </c>
      <c r="F214" s="18" t="s">
        <v>24</v>
      </c>
      <c r="G214" s="18" t="s">
        <v>38</v>
      </c>
      <c r="H214" s="18">
        <v>11</v>
      </c>
      <c r="I214" s="18">
        <v>920.43</v>
      </c>
      <c r="J214" s="18">
        <v>0.15</v>
      </c>
      <c r="K214" s="18">
        <v>8606.02</v>
      </c>
      <c r="L214" s="18" t="s">
        <v>19</v>
      </c>
      <c r="M214" s="18" t="s">
        <v>26</v>
      </c>
    </row>
    <row r="215" spans="1:13" x14ac:dyDescent="0.35">
      <c r="A215" s="18">
        <v>1214</v>
      </c>
      <c r="B215" s="27">
        <v>45914</v>
      </c>
      <c r="C215" s="18" t="s">
        <v>21</v>
      </c>
      <c r="D215" s="18" t="s">
        <v>31</v>
      </c>
      <c r="E215" s="18" t="s">
        <v>91</v>
      </c>
      <c r="F215" s="18" t="s">
        <v>33</v>
      </c>
      <c r="G215" s="18" t="s">
        <v>34</v>
      </c>
      <c r="H215" s="18">
        <v>8</v>
      </c>
      <c r="I215" s="18">
        <v>238.51</v>
      </c>
      <c r="J215" s="18">
        <v>0.05</v>
      </c>
      <c r="K215" s="18">
        <v>1812.68</v>
      </c>
      <c r="L215" s="18" t="s">
        <v>35</v>
      </c>
      <c r="M215" s="18" t="s">
        <v>20</v>
      </c>
    </row>
    <row r="216" spans="1:13" x14ac:dyDescent="0.35">
      <c r="A216" s="18">
        <v>1215</v>
      </c>
      <c r="B216" s="27">
        <v>45770</v>
      </c>
      <c r="C216" s="18" t="s">
        <v>14</v>
      </c>
      <c r="D216" s="18" t="s">
        <v>15</v>
      </c>
      <c r="E216" s="18" t="s">
        <v>65</v>
      </c>
      <c r="F216" s="18" t="s">
        <v>33</v>
      </c>
      <c r="G216" s="18" t="s">
        <v>61</v>
      </c>
      <c r="H216" s="18">
        <v>10</v>
      </c>
      <c r="I216" s="18">
        <v>79.92</v>
      </c>
      <c r="J216" s="18">
        <v>0.1</v>
      </c>
      <c r="K216" s="18">
        <v>719.28</v>
      </c>
      <c r="L216" s="18" t="s">
        <v>19</v>
      </c>
      <c r="M216" s="18" t="s">
        <v>20</v>
      </c>
    </row>
    <row r="217" spans="1:13" x14ac:dyDescent="0.35">
      <c r="A217" s="18">
        <v>1216</v>
      </c>
      <c r="B217" s="27">
        <v>45764</v>
      </c>
      <c r="C217" s="18" t="s">
        <v>27</v>
      </c>
      <c r="D217" s="18" t="s">
        <v>31</v>
      </c>
      <c r="E217" s="18" t="s">
        <v>56</v>
      </c>
      <c r="F217" s="18" t="s">
        <v>33</v>
      </c>
      <c r="G217" s="18" t="s">
        <v>34</v>
      </c>
      <c r="H217" s="18">
        <v>14</v>
      </c>
      <c r="I217" s="18">
        <v>904.51</v>
      </c>
      <c r="J217" s="18">
        <v>0.15</v>
      </c>
      <c r="K217" s="18">
        <v>10763.67</v>
      </c>
      <c r="L217" s="18" t="s">
        <v>39</v>
      </c>
      <c r="M217" s="18" t="s">
        <v>20</v>
      </c>
    </row>
    <row r="218" spans="1:13" x14ac:dyDescent="0.35">
      <c r="A218" s="18">
        <v>1217</v>
      </c>
      <c r="B218" s="27">
        <v>46083</v>
      </c>
      <c r="C218" s="18" t="s">
        <v>27</v>
      </c>
      <c r="D218" s="18" t="s">
        <v>31</v>
      </c>
      <c r="E218" s="18" t="s">
        <v>50</v>
      </c>
      <c r="F218" s="18" t="s">
        <v>17</v>
      </c>
      <c r="G218" s="18" t="s">
        <v>30</v>
      </c>
      <c r="H218" s="18">
        <v>2</v>
      </c>
      <c r="I218" s="18">
        <v>561.78</v>
      </c>
      <c r="J218" s="18">
        <v>0</v>
      </c>
      <c r="K218" s="18">
        <v>1123.56</v>
      </c>
      <c r="L218" s="18" t="s">
        <v>35</v>
      </c>
      <c r="M218" s="18" t="s">
        <v>20</v>
      </c>
    </row>
    <row r="219" spans="1:13" x14ac:dyDescent="0.35">
      <c r="A219" s="18">
        <v>1218</v>
      </c>
      <c r="B219" s="27">
        <v>45889</v>
      </c>
      <c r="C219" s="18" t="s">
        <v>21</v>
      </c>
      <c r="D219" s="18" t="s">
        <v>28</v>
      </c>
      <c r="E219" s="18" t="s">
        <v>107</v>
      </c>
      <c r="F219" s="18" t="s">
        <v>17</v>
      </c>
      <c r="G219" s="18" t="s">
        <v>30</v>
      </c>
      <c r="H219" s="18">
        <v>12</v>
      </c>
      <c r="I219" s="18">
        <v>1039.67</v>
      </c>
      <c r="J219" s="18">
        <v>0.15</v>
      </c>
      <c r="K219" s="18">
        <v>10604.63</v>
      </c>
      <c r="L219" s="18" t="s">
        <v>39</v>
      </c>
      <c r="M219" s="18" t="s">
        <v>26</v>
      </c>
    </row>
    <row r="220" spans="1:13" x14ac:dyDescent="0.35">
      <c r="A220" s="18">
        <v>1219</v>
      </c>
      <c r="B220" s="27">
        <v>45866</v>
      </c>
      <c r="C220" s="18" t="s">
        <v>43</v>
      </c>
      <c r="D220" s="18" t="s">
        <v>28</v>
      </c>
      <c r="E220" s="18" t="s">
        <v>87</v>
      </c>
      <c r="F220" s="18" t="s">
        <v>17</v>
      </c>
      <c r="G220" s="18" t="s">
        <v>30</v>
      </c>
      <c r="H220" s="18">
        <v>10</v>
      </c>
      <c r="I220" s="18">
        <v>364.63</v>
      </c>
      <c r="J220" s="18">
        <v>0.1</v>
      </c>
      <c r="K220" s="18">
        <v>3281.67</v>
      </c>
      <c r="L220" s="18" t="s">
        <v>19</v>
      </c>
      <c r="M220" s="18" t="s">
        <v>36</v>
      </c>
    </row>
    <row r="221" spans="1:13" x14ac:dyDescent="0.35">
      <c r="A221" s="18">
        <v>1220</v>
      </c>
      <c r="B221" s="27">
        <v>45691</v>
      </c>
      <c r="C221" s="18" t="s">
        <v>14</v>
      </c>
      <c r="D221" s="18" t="s">
        <v>54</v>
      </c>
      <c r="E221" s="18" t="s">
        <v>57</v>
      </c>
      <c r="F221" s="18" t="s">
        <v>17</v>
      </c>
      <c r="G221" s="18" t="s">
        <v>46</v>
      </c>
      <c r="H221" s="18">
        <v>3</v>
      </c>
      <c r="I221" s="18">
        <v>551.41</v>
      </c>
      <c r="J221" s="18">
        <v>0.1</v>
      </c>
      <c r="K221" s="18">
        <v>1488.81</v>
      </c>
      <c r="L221" s="18" t="s">
        <v>19</v>
      </c>
      <c r="M221" s="18" t="s">
        <v>36</v>
      </c>
    </row>
    <row r="222" spans="1:13" x14ac:dyDescent="0.35">
      <c r="A222" s="18">
        <v>1221</v>
      </c>
      <c r="B222" s="27">
        <v>45684</v>
      </c>
      <c r="C222" s="18" t="s">
        <v>21</v>
      </c>
      <c r="D222" s="18" t="s">
        <v>22</v>
      </c>
      <c r="E222" s="18" t="s">
        <v>52</v>
      </c>
      <c r="F222" s="18" t="s">
        <v>33</v>
      </c>
      <c r="G222" s="18" t="s">
        <v>53</v>
      </c>
      <c r="H222" s="18">
        <v>9</v>
      </c>
      <c r="I222" s="18">
        <v>594.99</v>
      </c>
      <c r="J222" s="18">
        <v>0.1</v>
      </c>
      <c r="K222" s="18">
        <v>4819.42</v>
      </c>
      <c r="L222" s="18" t="s">
        <v>39</v>
      </c>
      <c r="M222" s="18" t="s">
        <v>26</v>
      </c>
    </row>
    <row r="223" spans="1:13" x14ac:dyDescent="0.35">
      <c r="A223" s="18">
        <v>1222</v>
      </c>
      <c r="B223" s="27">
        <v>45672</v>
      </c>
      <c r="C223" s="18" t="s">
        <v>14</v>
      </c>
      <c r="D223" s="18" t="s">
        <v>31</v>
      </c>
      <c r="E223" s="18" t="s">
        <v>40</v>
      </c>
      <c r="F223" s="18" t="s">
        <v>17</v>
      </c>
      <c r="G223" s="18" t="s">
        <v>18</v>
      </c>
      <c r="H223" s="18">
        <v>9</v>
      </c>
      <c r="I223" s="18">
        <v>148.43</v>
      </c>
      <c r="J223" s="18">
        <v>0</v>
      </c>
      <c r="K223" s="18">
        <v>1335.87</v>
      </c>
      <c r="L223" s="18" t="s">
        <v>35</v>
      </c>
      <c r="M223" s="18" t="s">
        <v>36</v>
      </c>
    </row>
    <row r="224" spans="1:13" x14ac:dyDescent="0.35">
      <c r="A224" s="18">
        <v>1223</v>
      </c>
      <c r="B224" s="27">
        <v>45915</v>
      </c>
      <c r="C224" s="18" t="s">
        <v>43</v>
      </c>
      <c r="D224" s="18" t="s">
        <v>54</v>
      </c>
      <c r="E224" s="18" t="s">
        <v>74</v>
      </c>
      <c r="F224" s="18" t="s">
        <v>17</v>
      </c>
      <c r="G224" s="18" t="s">
        <v>30</v>
      </c>
      <c r="H224" s="18">
        <v>3</v>
      </c>
      <c r="I224" s="18">
        <v>271.01</v>
      </c>
      <c r="J224" s="18">
        <v>0.1</v>
      </c>
      <c r="K224" s="18">
        <v>731.73</v>
      </c>
      <c r="L224" s="18" t="s">
        <v>39</v>
      </c>
      <c r="M224" s="18" t="s">
        <v>36</v>
      </c>
    </row>
    <row r="225" spans="1:13" x14ac:dyDescent="0.35">
      <c r="A225" s="18">
        <v>1224</v>
      </c>
      <c r="B225" s="27">
        <v>46027</v>
      </c>
      <c r="C225" s="18" t="s">
        <v>43</v>
      </c>
      <c r="D225" s="18" t="s">
        <v>22</v>
      </c>
      <c r="E225" s="18" t="s">
        <v>79</v>
      </c>
      <c r="F225" s="18" t="s">
        <v>17</v>
      </c>
      <c r="G225" s="18" t="s">
        <v>30</v>
      </c>
      <c r="H225" s="18">
        <v>4</v>
      </c>
      <c r="I225" s="18">
        <v>1032.07</v>
      </c>
      <c r="J225" s="18">
        <v>0.05</v>
      </c>
      <c r="K225" s="18">
        <v>3921.87</v>
      </c>
      <c r="L225" s="18" t="s">
        <v>19</v>
      </c>
      <c r="M225" s="18" t="s">
        <v>36</v>
      </c>
    </row>
    <row r="226" spans="1:13" x14ac:dyDescent="0.35">
      <c r="A226" s="18">
        <v>1225</v>
      </c>
      <c r="B226" s="27">
        <v>45992</v>
      </c>
      <c r="C226" s="18" t="s">
        <v>43</v>
      </c>
      <c r="D226" s="18" t="s">
        <v>28</v>
      </c>
      <c r="E226" s="18" t="s">
        <v>115</v>
      </c>
      <c r="F226" s="18" t="s">
        <v>33</v>
      </c>
      <c r="G226" s="18" t="s">
        <v>61</v>
      </c>
      <c r="H226" s="18">
        <v>15</v>
      </c>
      <c r="I226" s="18">
        <v>173.11</v>
      </c>
      <c r="J226" s="18">
        <v>0.05</v>
      </c>
      <c r="K226" s="18">
        <v>2466.8200000000002</v>
      </c>
      <c r="L226" s="18" t="s">
        <v>19</v>
      </c>
      <c r="M226" s="18" t="s">
        <v>26</v>
      </c>
    </row>
    <row r="227" spans="1:13" x14ac:dyDescent="0.35">
      <c r="A227" s="18">
        <v>1226</v>
      </c>
      <c r="B227" s="27">
        <v>46083</v>
      </c>
      <c r="C227" s="18" t="s">
        <v>21</v>
      </c>
      <c r="D227" s="18" t="s">
        <v>22</v>
      </c>
      <c r="E227" s="18" t="s">
        <v>121</v>
      </c>
      <c r="F227" s="18" t="s">
        <v>24</v>
      </c>
      <c r="G227" s="18" t="s">
        <v>38</v>
      </c>
      <c r="H227" s="18">
        <v>7</v>
      </c>
      <c r="I227" s="18">
        <v>408.56</v>
      </c>
      <c r="J227" s="18">
        <v>0.15</v>
      </c>
      <c r="K227" s="18">
        <v>2430.9299999999998</v>
      </c>
      <c r="L227" s="18" t="s">
        <v>35</v>
      </c>
      <c r="M227" s="18" t="s">
        <v>26</v>
      </c>
    </row>
    <row r="228" spans="1:13" x14ac:dyDescent="0.35">
      <c r="A228" s="18">
        <v>1227</v>
      </c>
      <c r="B228" s="27">
        <v>46072</v>
      </c>
      <c r="C228" s="18" t="s">
        <v>14</v>
      </c>
      <c r="D228" s="18" t="s">
        <v>22</v>
      </c>
      <c r="E228" s="18" t="s">
        <v>97</v>
      </c>
      <c r="F228" s="18" t="s">
        <v>17</v>
      </c>
      <c r="G228" s="18" t="s">
        <v>18</v>
      </c>
      <c r="H228" s="18">
        <v>10</v>
      </c>
      <c r="I228" s="18">
        <v>236.9</v>
      </c>
      <c r="J228" s="18">
        <v>0</v>
      </c>
      <c r="K228" s="18">
        <v>2369</v>
      </c>
      <c r="L228" s="18" t="s">
        <v>39</v>
      </c>
      <c r="M228" s="18" t="s">
        <v>20</v>
      </c>
    </row>
    <row r="229" spans="1:13" x14ac:dyDescent="0.35">
      <c r="A229" s="18">
        <v>1228</v>
      </c>
      <c r="B229" s="27">
        <v>45991</v>
      </c>
      <c r="C229" s="18" t="s">
        <v>21</v>
      </c>
      <c r="D229" s="18" t="s">
        <v>47</v>
      </c>
      <c r="E229" s="18" t="s">
        <v>71</v>
      </c>
      <c r="F229" s="18" t="s">
        <v>17</v>
      </c>
      <c r="G229" s="18" t="s">
        <v>46</v>
      </c>
      <c r="H229" s="18">
        <v>12</v>
      </c>
      <c r="I229" s="18">
        <v>452.76</v>
      </c>
      <c r="J229" s="18">
        <v>0.15</v>
      </c>
      <c r="K229" s="18">
        <v>4618.1499999999996</v>
      </c>
      <c r="L229" s="18" t="s">
        <v>39</v>
      </c>
      <c r="M229" s="18" t="s">
        <v>20</v>
      </c>
    </row>
    <row r="230" spans="1:13" x14ac:dyDescent="0.35">
      <c r="A230" s="18">
        <v>1229</v>
      </c>
      <c r="B230" s="27">
        <v>45951</v>
      </c>
      <c r="C230" s="18" t="s">
        <v>43</v>
      </c>
      <c r="D230" s="18" t="s">
        <v>31</v>
      </c>
      <c r="E230" s="18" t="s">
        <v>94</v>
      </c>
      <c r="F230" s="18" t="s">
        <v>24</v>
      </c>
      <c r="G230" s="18" t="s">
        <v>63</v>
      </c>
      <c r="H230" s="18">
        <v>7</v>
      </c>
      <c r="I230" s="18">
        <v>139.15</v>
      </c>
      <c r="J230" s="18">
        <v>0</v>
      </c>
      <c r="K230" s="18">
        <v>974.05</v>
      </c>
      <c r="L230" s="18" t="s">
        <v>39</v>
      </c>
      <c r="M230" s="18" t="s">
        <v>26</v>
      </c>
    </row>
    <row r="231" spans="1:13" x14ac:dyDescent="0.35">
      <c r="A231" s="18">
        <v>1230</v>
      </c>
      <c r="B231" s="27">
        <v>46149</v>
      </c>
      <c r="C231" s="18" t="s">
        <v>21</v>
      </c>
      <c r="D231" s="18" t="s">
        <v>31</v>
      </c>
      <c r="E231" s="18" t="s">
        <v>45</v>
      </c>
      <c r="F231" s="18" t="s">
        <v>33</v>
      </c>
      <c r="G231" s="18" t="s">
        <v>53</v>
      </c>
      <c r="H231" s="18">
        <v>12</v>
      </c>
      <c r="I231" s="18">
        <v>897.6</v>
      </c>
      <c r="J231" s="18">
        <v>0</v>
      </c>
      <c r="K231" s="18">
        <v>10771.2</v>
      </c>
      <c r="L231" s="18" t="s">
        <v>19</v>
      </c>
      <c r="M231" s="18" t="s">
        <v>36</v>
      </c>
    </row>
    <row r="232" spans="1:13" x14ac:dyDescent="0.35">
      <c r="A232" s="18">
        <v>1231</v>
      </c>
      <c r="B232" s="27">
        <v>45847</v>
      </c>
      <c r="C232" s="18" t="s">
        <v>27</v>
      </c>
      <c r="D232" s="18" t="s">
        <v>15</v>
      </c>
      <c r="E232" s="18" t="s">
        <v>49</v>
      </c>
      <c r="F232" s="18" t="s">
        <v>24</v>
      </c>
      <c r="G232" s="18" t="s">
        <v>25</v>
      </c>
      <c r="H232" s="18">
        <v>2</v>
      </c>
      <c r="I232" s="18">
        <v>861.52</v>
      </c>
      <c r="J232" s="18">
        <v>0.15</v>
      </c>
      <c r="K232" s="18">
        <v>1464.58</v>
      </c>
      <c r="L232" s="18" t="s">
        <v>39</v>
      </c>
      <c r="M232" s="18" t="s">
        <v>36</v>
      </c>
    </row>
    <row r="233" spans="1:13" x14ac:dyDescent="0.35">
      <c r="A233" s="18">
        <v>1232</v>
      </c>
      <c r="B233" s="27">
        <v>45785</v>
      </c>
      <c r="C233" s="18" t="s">
        <v>21</v>
      </c>
      <c r="D233" s="18" t="s">
        <v>28</v>
      </c>
      <c r="E233" s="18" t="s">
        <v>52</v>
      </c>
      <c r="F233" s="18" t="s">
        <v>33</v>
      </c>
      <c r="G233" s="18" t="s">
        <v>34</v>
      </c>
      <c r="H233" s="18">
        <v>14</v>
      </c>
      <c r="I233" s="18">
        <v>579.27</v>
      </c>
      <c r="J233" s="18">
        <v>0.15</v>
      </c>
      <c r="K233" s="18">
        <v>6893.31</v>
      </c>
      <c r="L233" s="18" t="s">
        <v>35</v>
      </c>
      <c r="M233" s="18" t="s">
        <v>20</v>
      </c>
    </row>
    <row r="234" spans="1:13" x14ac:dyDescent="0.35">
      <c r="A234" s="18">
        <v>1233</v>
      </c>
      <c r="B234" s="27">
        <v>45987</v>
      </c>
      <c r="C234" s="18" t="s">
        <v>43</v>
      </c>
      <c r="D234" s="18" t="s">
        <v>54</v>
      </c>
      <c r="E234" s="18" t="s">
        <v>100</v>
      </c>
      <c r="F234" s="18" t="s">
        <v>33</v>
      </c>
      <c r="G234" s="18" t="s">
        <v>61</v>
      </c>
      <c r="H234" s="18">
        <v>3</v>
      </c>
      <c r="I234" s="18">
        <v>720.43</v>
      </c>
      <c r="J234" s="18">
        <v>0.05</v>
      </c>
      <c r="K234" s="18">
        <v>2053.23</v>
      </c>
      <c r="L234" s="18" t="s">
        <v>35</v>
      </c>
      <c r="M234" s="18" t="s">
        <v>36</v>
      </c>
    </row>
    <row r="235" spans="1:13" x14ac:dyDescent="0.35">
      <c r="A235" s="18">
        <v>1234</v>
      </c>
      <c r="B235" s="27">
        <v>45959</v>
      </c>
      <c r="C235" s="18" t="s">
        <v>43</v>
      </c>
      <c r="D235" s="18" t="s">
        <v>31</v>
      </c>
      <c r="E235" s="18" t="s">
        <v>114</v>
      </c>
      <c r="F235" s="18" t="s">
        <v>33</v>
      </c>
      <c r="G235" s="18" t="s">
        <v>61</v>
      </c>
      <c r="H235" s="18">
        <v>12</v>
      </c>
      <c r="I235" s="18">
        <v>219.81</v>
      </c>
      <c r="J235" s="18">
        <v>0</v>
      </c>
      <c r="K235" s="18">
        <v>2637.72</v>
      </c>
      <c r="L235" s="18" t="s">
        <v>39</v>
      </c>
      <c r="M235" s="18" t="s">
        <v>20</v>
      </c>
    </row>
    <row r="236" spans="1:13" x14ac:dyDescent="0.35">
      <c r="A236" s="18">
        <v>1235</v>
      </c>
      <c r="B236" s="27">
        <v>45815</v>
      </c>
      <c r="C236" s="18" t="s">
        <v>27</v>
      </c>
      <c r="D236" s="18" t="s">
        <v>47</v>
      </c>
      <c r="E236" s="18" t="s">
        <v>83</v>
      </c>
      <c r="F236" s="18" t="s">
        <v>24</v>
      </c>
      <c r="G236" s="18" t="s">
        <v>25</v>
      </c>
      <c r="H236" s="18">
        <v>2</v>
      </c>
      <c r="I236" s="18">
        <v>959.28</v>
      </c>
      <c r="J236" s="18">
        <v>0.1</v>
      </c>
      <c r="K236" s="18">
        <v>1726.7</v>
      </c>
      <c r="L236" s="18" t="s">
        <v>19</v>
      </c>
      <c r="M236" s="18" t="s">
        <v>26</v>
      </c>
    </row>
    <row r="237" spans="1:13" x14ac:dyDescent="0.35">
      <c r="A237" s="18">
        <v>1236</v>
      </c>
      <c r="B237" s="27">
        <v>45935</v>
      </c>
      <c r="C237" s="18" t="s">
        <v>21</v>
      </c>
      <c r="D237" s="18" t="s">
        <v>15</v>
      </c>
      <c r="E237" s="18" t="s">
        <v>85</v>
      </c>
      <c r="F237" s="18" t="s">
        <v>24</v>
      </c>
      <c r="G237" s="18" t="s">
        <v>25</v>
      </c>
      <c r="H237" s="18">
        <v>11</v>
      </c>
      <c r="I237" s="18">
        <v>845.44</v>
      </c>
      <c r="J237" s="18">
        <v>0.1</v>
      </c>
      <c r="K237" s="18">
        <v>8369.86</v>
      </c>
      <c r="L237" s="18" t="s">
        <v>35</v>
      </c>
      <c r="M237" s="18" t="s">
        <v>20</v>
      </c>
    </row>
    <row r="238" spans="1:13" x14ac:dyDescent="0.35">
      <c r="A238" s="18">
        <v>1237</v>
      </c>
      <c r="B238" s="27">
        <v>45789</v>
      </c>
      <c r="C238" s="18" t="s">
        <v>21</v>
      </c>
      <c r="D238" s="18" t="s">
        <v>31</v>
      </c>
      <c r="E238" s="18" t="s">
        <v>55</v>
      </c>
      <c r="F238" s="18" t="s">
        <v>33</v>
      </c>
      <c r="G238" s="18" t="s">
        <v>34</v>
      </c>
      <c r="H238" s="18">
        <v>15</v>
      </c>
      <c r="I238" s="18">
        <v>522.66</v>
      </c>
      <c r="J238" s="18">
        <v>0.05</v>
      </c>
      <c r="K238" s="18">
        <v>7447.9</v>
      </c>
      <c r="L238" s="18" t="s">
        <v>19</v>
      </c>
      <c r="M238" s="18" t="s">
        <v>26</v>
      </c>
    </row>
    <row r="239" spans="1:13" x14ac:dyDescent="0.35">
      <c r="A239" s="18">
        <v>1238</v>
      </c>
      <c r="B239" s="27">
        <v>45798</v>
      </c>
      <c r="C239" s="18" t="s">
        <v>14</v>
      </c>
      <c r="D239" s="18" t="s">
        <v>22</v>
      </c>
      <c r="E239" s="18" t="s">
        <v>92</v>
      </c>
      <c r="F239" s="18" t="s">
        <v>33</v>
      </c>
      <c r="G239" s="18" t="s">
        <v>61</v>
      </c>
      <c r="H239" s="18">
        <v>12</v>
      </c>
      <c r="I239" s="18">
        <v>810.84</v>
      </c>
      <c r="J239" s="18">
        <v>0.1</v>
      </c>
      <c r="K239" s="18">
        <v>8757.07</v>
      </c>
      <c r="L239" s="18" t="s">
        <v>35</v>
      </c>
      <c r="M239" s="18" t="s">
        <v>26</v>
      </c>
    </row>
    <row r="240" spans="1:13" x14ac:dyDescent="0.35">
      <c r="A240" s="18">
        <v>1239</v>
      </c>
      <c r="B240" s="27">
        <v>46090</v>
      </c>
      <c r="C240" s="18" t="s">
        <v>14</v>
      </c>
      <c r="D240" s="18" t="s">
        <v>22</v>
      </c>
      <c r="E240" s="18" t="s">
        <v>102</v>
      </c>
      <c r="F240" s="18" t="s">
        <v>33</v>
      </c>
      <c r="G240" s="18" t="s">
        <v>53</v>
      </c>
      <c r="H240" s="18">
        <v>6</v>
      </c>
      <c r="I240" s="18">
        <v>751.3</v>
      </c>
      <c r="J240" s="18">
        <v>0.05</v>
      </c>
      <c r="K240" s="18">
        <v>4282.41</v>
      </c>
      <c r="L240" s="18" t="s">
        <v>39</v>
      </c>
      <c r="M240" s="18" t="s">
        <v>26</v>
      </c>
    </row>
    <row r="241" spans="1:13" x14ac:dyDescent="0.35">
      <c r="A241" s="18">
        <v>1240</v>
      </c>
      <c r="B241" s="27">
        <v>45850</v>
      </c>
      <c r="C241" s="18" t="s">
        <v>43</v>
      </c>
      <c r="D241" s="18" t="s">
        <v>28</v>
      </c>
      <c r="E241" s="18" t="s">
        <v>32</v>
      </c>
      <c r="F241" s="18" t="s">
        <v>17</v>
      </c>
      <c r="G241" s="18" t="s">
        <v>46</v>
      </c>
      <c r="H241" s="18">
        <v>9</v>
      </c>
      <c r="I241" s="18">
        <v>904.81</v>
      </c>
      <c r="J241" s="18">
        <v>0.05</v>
      </c>
      <c r="K241" s="18">
        <v>7736.13</v>
      </c>
      <c r="L241" s="18" t="s">
        <v>35</v>
      </c>
      <c r="M241" s="18" t="s">
        <v>26</v>
      </c>
    </row>
    <row r="242" spans="1:13" x14ac:dyDescent="0.35">
      <c r="A242" s="18">
        <v>1241</v>
      </c>
      <c r="B242" s="27">
        <v>46167</v>
      </c>
      <c r="C242" s="18" t="s">
        <v>43</v>
      </c>
      <c r="D242" s="18" t="s">
        <v>31</v>
      </c>
      <c r="E242" s="18" t="s">
        <v>90</v>
      </c>
      <c r="F242" s="18" t="s">
        <v>17</v>
      </c>
      <c r="G242" s="18" t="s">
        <v>18</v>
      </c>
      <c r="H242" s="18">
        <v>8</v>
      </c>
      <c r="I242" s="18">
        <v>1193.77</v>
      </c>
      <c r="J242" s="18">
        <v>0.15</v>
      </c>
      <c r="K242" s="18">
        <v>8117.64</v>
      </c>
      <c r="L242" s="18" t="s">
        <v>35</v>
      </c>
      <c r="M242" s="18" t="s">
        <v>20</v>
      </c>
    </row>
    <row r="243" spans="1:13" x14ac:dyDescent="0.35">
      <c r="A243" s="18">
        <v>1242</v>
      </c>
      <c r="B243" s="27">
        <v>46188</v>
      </c>
      <c r="C243" s="18" t="s">
        <v>14</v>
      </c>
      <c r="D243" s="18" t="s">
        <v>22</v>
      </c>
      <c r="E243" s="18" t="s">
        <v>114</v>
      </c>
      <c r="F243" s="18" t="s">
        <v>17</v>
      </c>
      <c r="G243" s="18" t="s">
        <v>18</v>
      </c>
      <c r="H243" s="18">
        <v>2</v>
      </c>
      <c r="I243" s="18">
        <v>288.26</v>
      </c>
      <c r="J243" s="18">
        <v>0.15</v>
      </c>
      <c r="K243" s="18">
        <v>490.04</v>
      </c>
      <c r="L243" s="18" t="s">
        <v>19</v>
      </c>
      <c r="M243" s="18" t="s">
        <v>36</v>
      </c>
    </row>
    <row r="244" spans="1:13" x14ac:dyDescent="0.35">
      <c r="A244" s="18">
        <v>1243</v>
      </c>
      <c r="B244" s="27">
        <v>45731</v>
      </c>
      <c r="C244" s="18" t="s">
        <v>43</v>
      </c>
      <c r="D244" s="18" t="s">
        <v>15</v>
      </c>
      <c r="E244" s="18" t="s">
        <v>75</v>
      </c>
      <c r="F244" s="18" t="s">
        <v>17</v>
      </c>
      <c r="G244" s="18" t="s">
        <v>18</v>
      </c>
      <c r="H244" s="18">
        <v>11</v>
      </c>
      <c r="I244" s="18">
        <v>462.44</v>
      </c>
      <c r="J244" s="18">
        <v>0</v>
      </c>
      <c r="K244" s="18">
        <v>5086.84</v>
      </c>
      <c r="L244" s="18" t="s">
        <v>39</v>
      </c>
      <c r="M244" s="18" t="s">
        <v>36</v>
      </c>
    </row>
    <row r="245" spans="1:13" x14ac:dyDescent="0.35">
      <c r="A245" s="18">
        <v>1244</v>
      </c>
      <c r="B245" s="27">
        <v>46146</v>
      </c>
      <c r="C245" s="18" t="s">
        <v>14</v>
      </c>
      <c r="D245" s="18" t="s">
        <v>31</v>
      </c>
      <c r="E245" s="18" t="s">
        <v>65</v>
      </c>
      <c r="F245" s="18" t="s">
        <v>24</v>
      </c>
      <c r="G245" s="18" t="s">
        <v>25</v>
      </c>
      <c r="H245" s="18">
        <v>8</v>
      </c>
      <c r="I245" s="18">
        <v>790.57</v>
      </c>
      <c r="J245" s="18">
        <v>0</v>
      </c>
      <c r="K245" s="18">
        <v>6324.56</v>
      </c>
      <c r="L245" s="18" t="s">
        <v>39</v>
      </c>
      <c r="M245" s="18" t="s">
        <v>26</v>
      </c>
    </row>
    <row r="246" spans="1:13" x14ac:dyDescent="0.35">
      <c r="A246" s="18">
        <v>1245</v>
      </c>
      <c r="B246" s="27">
        <v>45822</v>
      </c>
      <c r="C246" s="18" t="s">
        <v>43</v>
      </c>
      <c r="D246" s="18" t="s">
        <v>31</v>
      </c>
      <c r="E246" s="18" t="s">
        <v>76</v>
      </c>
      <c r="F246" s="18" t="s">
        <v>17</v>
      </c>
      <c r="G246" s="18" t="s">
        <v>18</v>
      </c>
      <c r="H246" s="18">
        <v>1</v>
      </c>
      <c r="I246" s="18">
        <v>501.06</v>
      </c>
      <c r="J246" s="18">
        <v>0.05</v>
      </c>
      <c r="K246" s="18">
        <v>476.01</v>
      </c>
      <c r="L246" s="18" t="s">
        <v>35</v>
      </c>
      <c r="M246" s="18" t="s">
        <v>20</v>
      </c>
    </row>
    <row r="247" spans="1:13" x14ac:dyDescent="0.35">
      <c r="A247" s="18">
        <v>1246</v>
      </c>
      <c r="B247" s="27">
        <v>45805</v>
      </c>
      <c r="C247" s="18" t="s">
        <v>43</v>
      </c>
      <c r="D247" s="18" t="s">
        <v>54</v>
      </c>
      <c r="E247" s="18" t="s">
        <v>48</v>
      </c>
      <c r="F247" s="18" t="s">
        <v>33</v>
      </c>
      <c r="G247" s="18" t="s">
        <v>53</v>
      </c>
      <c r="H247" s="18">
        <v>8</v>
      </c>
      <c r="I247" s="18">
        <v>492.92</v>
      </c>
      <c r="J247" s="18">
        <v>0.15</v>
      </c>
      <c r="K247" s="18">
        <v>3351.86</v>
      </c>
      <c r="L247" s="18" t="s">
        <v>39</v>
      </c>
      <c r="M247" s="18" t="s">
        <v>26</v>
      </c>
    </row>
    <row r="248" spans="1:13" x14ac:dyDescent="0.35">
      <c r="A248" s="18">
        <v>1247</v>
      </c>
      <c r="B248" s="27">
        <v>46117</v>
      </c>
      <c r="C248" s="18" t="s">
        <v>21</v>
      </c>
      <c r="D248" s="18" t="s">
        <v>15</v>
      </c>
      <c r="E248" s="18" t="s">
        <v>77</v>
      </c>
      <c r="F248" s="18" t="s">
        <v>33</v>
      </c>
      <c r="G248" s="18" t="s">
        <v>53</v>
      </c>
      <c r="H248" s="18">
        <v>9</v>
      </c>
      <c r="I248" s="18">
        <v>567.6</v>
      </c>
      <c r="J248" s="18">
        <v>0.1</v>
      </c>
      <c r="K248" s="18">
        <v>4597.5600000000004</v>
      </c>
      <c r="L248" s="18" t="s">
        <v>19</v>
      </c>
      <c r="M248" s="18" t="s">
        <v>20</v>
      </c>
    </row>
    <row r="249" spans="1:13" x14ac:dyDescent="0.35">
      <c r="A249" s="18">
        <v>1248</v>
      </c>
      <c r="B249" s="27">
        <v>46066</v>
      </c>
      <c r="C249" s="18" t="s">
        <v>21</v>
      </c>
      <c r="D249" s="18" t="s">
        <v>28</v>
      </c>
      <c r="E249" s="18" t="s">
        <v>88</v>
      </c>
      <c r="F249" s="18" t="s">
        <v>33</v>
      </c>
      <c r="G249" s="18" t="s">
        <v>53</v>
      </c>
      <c r="H249" s="18">
        <v>10</v>
      </c>
      <c r="I249" s="18">
        <v>338.87</v>
      </c>
      <c r="J249" s="18">
        <v>0</v>
      </c>
      <c r="K249" s="18">
        <v>3388.7</v>
      </c>
      <c r="L249" s="18" t="s">
        <v>35</v>
      </c>
      <c r="M249" s="18" t="s">
        <v>26</v>
      </c>
    </row>
    <row r="250" spans="1:13" x14ac:dyDescent="0.35">
      <c r="A250" s="18">
        <v>1249</v>
      </c>
      <c r="B250" s="27">
        <v>45927</v>
      </c>
      <c r="C250" s="18" t="s">
        <v>21</v>
      </c>
      <c r="D250" s="18" t="s">
        <v>22</v>
      </c>
      <c r="E250" s="18" t="s">
        <v>113</v>
      </c>
      <c r="F250" s="18" t="s">
        <v>24</v>
      </c>
      <c r="G250" s="18" t="s">
        <v>38</v>
      </c>
      <c r="H250" s="18">
        <v>13</v>
      </c>
      <c r="I250" s="18">
        <v>339.22</v>
      </c>
      <c r="J250" s="18">
        <v>0.1</v>
      </c>
      <c r="K250" s="18">
        <v>3968.87</v>
      </c>
      <c r="L250" s="18" t="s">
        <v>35</v>
      </c>
      <c r="M250" s="18" t="s">
        <v>36</v>
      </c>
    </row>
    <row r="251" spans="1:13" x14ac:dyDescent="0.35">
      <c r="A251" s="18">
        <v>1250</v>
      </c>
      <c r="B251" s="27">
        <v>45878</v>
      </c>
      <c r="C251" s="18" t="s">
        <v>14</v>
      </c>
      <c r="D251" s="18" t="s">
        <v>47</v>
      </c>
      <c r="E251" s="18" t="s">
        <v>95</v>
      </c>
      <c r="F251" s="18" t="s">
        <v>17</v>
      </c>
      <c r="G251" s="18" t="s">
        <v>30</v>
      </c>
      <c r="H251" s="18">
        <v>5</v>
      </c>
      <c r="I251" s="18">
        <v>527.46</v>
      </c>
      <c r="J251" s="18">
        <v>0.05</v>
      </c>
      <c r="K251" s="18">
        <v>2505.4299999999998</v>
      </c>
      <c r="L251" s="18" t="s">
        <v>35</v>
      </c>
      <c r="M251" s="18" t="s">
        <v>36</v>
      </c>
    </row>
    <row r="252" spans="1:13" x14ac:dyDescent="0.35">
      <c r="A252" s="18">
        <v>1251</v>
      </c>
      <c r="B252" s="27">
        <v>46190</v>
      </c>
      <c r="C252" s="18" t="s">
        <v>43</v>
      </c>
      <c r="D252" s="18" t="s">
        <v>54</v>
      </c>
      <c r="E252" s="18" t="s">
        <v>77</v>
      </c>
      <c r="F252" s="18" t="s">
        <v>33</v>
      </c>
      <c r="G252" s="18" t="s">
        <v>34</v>
      </c>
      <c r="H252" s="18">
        <v>1</v>
      </c>
      <c r="I252" s="18">
        <v>901.45</v>
      </c>
      <c r="J252" s="18">
        <v>0.1</v>
      </c>
      <c r="K252" s="18">
        <v>811.31</v>
      </c>
      <c r="L252" s="18" t="s">
        <v>35</v>
      </c>
      <c r="M252" s="18" t="s">
        <v>36</v>
      </c>
    </row>
    <row r="253" spans="1:13" x14ac:dyDescent="0.35">
      <c r="A253" s="18">
        <v>1252</v>
      </c>
      <c r="B253" s="27">
        <v>46014</v>
      </c>
      <c r="C253" s="18" t="s">
        <v>27</v>
      </c>
      <c r="D253" s="18" t="s">
        <v>28</v>
      </c>
      <c r="E253" s="18" t="s">
        <v>102</v>
      </c>
      <c r="F253" s="18" t="s">
        <v>24</v>
      </c>
      <c r="G253" s="18" t="s">
        <v>63</v>
      </c>
      <c r="H253" s="18">
        <v>11</v>
      </c>
      <c r="I253" s="18">
        <v>597.44000000000005</v>
      </c>
      <c r="J253" s="18">
        <v>0.1</v>
      </c>
      <c r="K253" s="18">
        <v>5914.66</v>
      </c>
      <c r="L253" s="18" t="s">
        <v>39</v>
      </c>
      <c r="M253" s="18" t="s">
        <v>36</v>
      </c>
    </row>
    <row r="254" spans="1:13" x14ac:dyDescent="0.35">
      <c r="A254" s="18">
        <v>1253</v>
      </c>
      <c r="B254" s="27">
        <v>45996</v>
      </c>
      <c r="C254" s="18" t="s">
        <v>14</v>
      </c>
      <c r="D254" s="18" t="s">
        <v>54</v>
      </c>
      <c r="E254" s="18" t="s">
        <v>75</v>
      </c>
      <c r="F254" s="18" t="s">
        <v>33</v>
      </c>
      <c r="G254" s="18" t="s">
        <v>53</v>
      </c>
      <c r="H254" s="18">
        <v>11</v>
      </c>
      <c r="I254" s="18">
        <v>405.67</v>
      </c>
      <c r="J254" s="18">
        <v>0</v>
      </c>
      <c r="K254" s="18">
        <v>4462.37</v>
      </c>
      <c r="L254" s="18" t="s">
        <v>35</v>
      </c>
      <c r="M254" s="18" t="s">
        <v>26</v>
      </c>
    </row>
    <row r="255" spans="1:13" x14ac:dyDescent="0.35">
      <c r="A255" s="18">
        <v>1254</v>
      </c>
      <c r="B255" s="27">
        <v>45947</v>
      </c>
      <c r="C255" s="18" t="s">
        <v>14</v>
      </c>
      <c r="D255" s="18" t="s">
        <v>15</v>
      </c>
      <c r="E255" s="18" t="s">
        <v>73</v>
      </c>
      <c r="F255" s="18" t="s">
        <v>24</v>
      </c>
      <c r="G255" s="18" t="s">
        <v>38</v>
      </c>
      <c r="H255" s="18">
        <v>1</v>
      </c>
      <c r="I255" s="18">
        <v>15.14</v>
      </c>
      <c r="J255" s="18">
        <v>0</v>
      </c>
      <c r="K255" s="18">
        <v>15.14</v>
      </c>
      <c r="L255" s="18" t="s">
        <v>39</v>
      </c>
      <c r="M255" s="18" t="s">
        <v>20</v>
      </c>
    </row>
    <row r="256" spans="1:13" x14ac:dyDescent="0.35">
      <c r="A256" s="18">
        <v>1255</v>
      </c>
      <c r="B256" s="27">
        <v>45749</v>
      </c>
      <c r="C256" s="18" t="s">
        <v>14</v>
      </c>
      <c r="D256" s="18" t="s">
        <v>31</v>
      </c>
      <c r="E256" s="18" t="s">
        <v>81</v>
      </c>
      <c r="F256" s="18" t="s">
        <v>17</v>
      </c>
      <c r="G256" s="18" t="s">
        <v>18</v>
      </c>
      <c r="H256" s="18">
        <v>6</v>
      </c>
      <c r="I256" s="18">
        <v>764.82</v>
      </c>
      <c r="J256" s="18">
        <v>0.05</v>
      </c>
      <c r="K256" s="18">
        <v>4359.47</v>
      </c>
      <c r="L256" s="18" t="s">
        <v>35</v>
      </c>
      <c r="M256" s="18" t="s">
        <v>36</v>
      </c>
    </row>
    <row r="257" spans="1:13" x14ac:dyDescent="0.35">
      <c r="A257" s="18">
        <v>1256</v>
      </c>
      <c r="B257" s="27">
        <v>46095</v>
      </c>
      <c r="C257" s="18" t="s">
        <v>14</v>
      </c>
      <c r="D257" s="18" t="s">
        <v>22</v>
      </c>
      <c r="E257" s="18" t="s">
        <v>64</v>
      </c>
      <c r="F257" s="18" t="s">
        <v>17</v>
      </c>
      <c r="G257" s="18" t="s">
        <v>18</v>
      </c>
      <c r="H257" s="18">
        <v>9</v>
      </c>
      <c r="I257" s="18">
        <v>489.98</v>
      </c>
      <c r="J257" s="18">
        <v>0</v>
      </c>
      <c r="K257" s="18">
        <v>4409.82</v>
      </c>
      <c r="L257" s="18" t="s">
        <v>39</v>
      </c>
      <c r="M257" s="18" t="s">
        <v>20</v>
      </c>
    </row>
    <row r="258" spans="1:13" x14ac:dyDescent="0.35">
      <c r="A258" s="18">
        <v>1257</v>
      </c>
      <c r="B258" s="27">
        <v>45787</v>
      </c>
      <c r="C258" s="18" t="s">
        <v>43</v>
      </c>
      <c r="D258" s="18" t="s">
        <v>15</v>
      </c>
      <c r="E258" s="18" t="s">
        <v>81</v>
      </c>
      <c r="F258" s="18" t="s">
        <v>24</v>
      </c>
      <c r="G258" s="18" t="s">
        <v>38</v>
      </c>
      <c r="H258" s="18">
        <v>13</v>
      </c>
      <c r="I258" s="18">
        <v>574.36</v>
      </c>
      <c r="J258" s="18">
        <v>0.1</v>
      </c>
      <c r="K258" s="18">
        <v>6720.01</v>
      </c>
      <c r="L258" s="18" t="s">
        <v>19</v>
      </c>
      <c r="M258" s="18" t="s">
        <v>36</v>
      </c>
    </row>
    <row r="259" spans="1:13" x14ac:dyDescent="0.35">
      <c r="A259" s="18">
        <v>1258</v>
      </c>
      <c r="B259" s="27">
        <v>46094</v>
      </c>
      <c r="C259" s="18" t="s">
        <v>43</v>
      </c>
      <c r="D259" s="18" t="s">
        <v>28</v>
      </c>
      <c r="E259" s="18" t="s">
        <v>121</v>
      </c>
      <c r="F259" s="18" t="s">
        <v>33</v>
      </c>
      <c r="G259" s="18" t="s">
        <v>61</v>
      </c>
      <c r="H259" s="18">
        <v>2</v>
      </c>
      <c r="I259" s="18">
        <v>42.23</v>
      </c>
      <c r="J259" s="18">
        <v>0</v>
      </c>
      <c r="K259" s="18">
        <v>84.46</v>
      </c>
      <c r="L259" s="18" t="s">
        <v>39</v>
      </c>
      <c r="M259" s="18" t="s">
        <v>36</v>
      </c>
    </row>
    <row r="260" spans="1:13" x14ac:dyDescent="0.35">
      <c r="A260" s="18">
        <v>1259</v>
      </c>
      <c r="B260" s="27">
        <v>46100</v>
      </c>
      <c r="C260" s="18" t="s">
        <v>21</v>
      </c>
      <c r="D260" s="18" t="s">
        <v>54</v>
      </c>
      <c r="E260" s="18" t="s">
        <v>123</v>
      </c>
      <c r="F260" s="18" t="s">
        <v>24</v>
      </c>
      <c r="G260" s="18" t="s">
        <v>25</v>
      </c>
      <c r="H260" s="18">
        <v>13</v>
      </c>
      <c r="I260" s="18">
        <v>407.84</v>
      </c>
      <c r="J260" s="18">
        <v>0.05</v>
      </c>
      <c r="K260" s="18">
        <v>5036.82</v>
      </c>
      <c r="L260" s="18" t="s">
        <v>39</v>
      </c>
      <c r="M260" s="18" t="s">
        <v>26</v>
      </c>
    </row>
    <row r="261" spans="1:13" x14ac:dyDescent="0.35">
      <c r="A261" s="18">
        <v>1260</v>
      </c>
      <c r="B261" s="27">
        <v>45899</v>
      </c>
      <c r="C261" s="18" t="s">
        <v>43</v>
      </c>
      <c r="D261" s="18" t="s">
        <v>28</v>
      </c>
      <c r="E261" s="18" t="s">
        <v>23</v>
      </c>
      <c r="F261" s="18" t="s">
        <v>17</v>
      </c>
      <c r="G261" s="18" t="s">
        <v>46</v>
      </c>
      <c r="H261" s="18">
        <v>9</v>
      </c>
      <c r="I261" s="18">
        <v>927.94</v>
      </c>
      <c r="J261" s="18">
        <v>0.05</v>
      </c>
      <c r="K261" s="18">
        <v>7933.89</v>
      </c>
      <c r="L261" s="18" t="s">
        <v>19</v>
      </c>
      <c r="M261" s="18" t="s">
        <v>20</v>
      </c>
    </row>
    <row r="262" spans="1:13" x14ac:dyDescent="0.35">
      <c r="A262" s="18">
        <v>1261</v>
      </c>
      <c r="B262" s="27">
        <v>46145</v>
      </c>
      <c r="C262" s="18" t="s">
        <v>14</v>
      </c>
      <c r="D262" s="18" t="s">
        <v>47</v>
      </c>
      <c r="E262" s="18" t="s">
        <v>108</v>
      </c>
      <c r="F262" s="18" t="s">
        <v>17</v>
      </c>
      <c r="G262" s="18" t="s">
        <v>18</v>
      </c>
      <c r="H262" s="18">
        <v>1</v>
      </c>
      <c r="I262" s="18">
        <v>993.21</v>
      </c>
      <c r="J262" s="18">
        <v>0.1</v>
      </c>
      <c r="K262" s="18">
        <v>893.89</v>
      </c>
      <c r="L262" s="18" t="s">
        <v>19</v>
      </c>
      <c r="M262" s="18" t="s">
        <v>36</v>
      </c>
    </row>
    <row r="263" spans="1:13" x14ac:dyDescent="0.35">
      <c r="A263" s="18">
        <v>1262</v>
      </c>
      <c r="B263" s="27">
        <v>45807</v>
      </c>
      <c r="C263" s="18" t="s">
        <v>14</v>
      </c>
      <c r="D263" s="18" t="s">
        <v>28</v>
      </c>
      <c r="E263" s="18" t="s">
        <v>49</v>
      </c>
      <c r="F263" s="18" t="s">
        <v>17</v>
      </c>
      <c r="G263" s="18" t="s">
        <v>46</v>
      </c>
      <c r="H263" s="18">
        <v>6</v>
      </c>
      <c r="I263" s="18">
        <v>1035.44</v>
      </c>
      <c r="J263" s="18">
        <v>0.1</v>
      </c>
      <c r="K263" s="18">
        <v>5591.38</v>
      </c>
      <c r="L263" s="18" t="s">
        <v>39</v>
      </c>
      <c r="M263" s="18" t="s">
        <v>36</v>
      </c>
    </row>
    <row r="264" spans="1:13" x14ac:dyDescent="0.35">
      <c r="A264" s="18">
        <v>1263</v>
      </c>
      <c r="B264" s="27">
        <v>46011</v>
      </c>
      <c r="C264" s="18" t="s">
        <v>14</v>
      </c>
      <c r="D264" s="18" t="s">
        <v>15</v>
      </c>
      <c r="E264" s="18" t="s">
        <v>74</v>
      </c>
      <c r="F264" s="18" t="s">
        <v>17</v>
      </c>
      <c r="G264" s="18" t="s">
        <v>30</v>
      </c>
      <c r="H264" s="18">
        <v>5</v>
      </c>
      <c r="I264" s="18">
        <v>1052.71</v>
      </c>
      <c r="J264" s="18">
        <v>0.15</v>
      </c>
      <c r="K264" s="18">
        <v>4474.0200000000004</v>
      </c>
      <c r="L264" s="18" t="s">
        <v>35</v>
      </c>
      <c r="M264" s="18" t="s">
        <v>36</v>
      </c>
    </row>
    <row r="265" spans="1:13" x14ac:dyDescent="0.35">
      <c r="A265" s="18">
        <v>1264</v>
      </c>
      <c r="B265" s="27">
        <v>46032</v>
      </c>
      <c r="C265" s="18" t="s">
        <v>21</v>
      </c>
      <c r="D265" s="18" t="s">
        <v>28</v>
      </c>
      <c r="E265" s="18" t="s">
        <v>78</v>
      </c>
      <c r="F265" s="18" t="s">
        <v>24</v>
      </c>
      <c r="G265" s="18" t="s">
        <v>63</v>
      </c>
      <c r="H265" s="18">
        <v>14</v>
      </c>
      <c r="I265" s="18">
        <v>947.28</v>
      </c>
      <c r="J265" s="18">
        <v>0.05</v>
      </c>
      <c r="K265" s="18">
        <v>12598.82</v>
      </c>
      <c r="L265" s="18" t="s">
        <v>35</v>
      </c>
      <c r="M265" s="18" t="s">
        <v>36</v>
      </c>
    </row>
    <row r="266" spans="1:13" x14ac:dyDescent="0.35">
      <c r="A266" s="18">
        <v>1265</v>
      </c>
      <c r="B266" s="27">
        <v>45812</v>
      </c>
      <c r="C266" s="18" t="s">
        <v>43</v>
      </c>
      <c r="D266" s="18" t="s">
        <v>31</v>
      </c>
      <c r="E266" s="18" t="s">
        <v>96</v>
      </c>
      <c r="F266" s="18" t="s">
        <v>24</v>
      </c>
      <c r="G266" s="18" t="s">
        <v>63</v>
      </c>
      <c r="H266" s="18">
        <v>12</v>
      </c>
      <c r="I266" s="18">
        <v>17.03</v>
      </c>
      <c r="J266" s="18">
        <v>0</v>
      </c>
      <c r="K266" s="18">
        <v>204.36</v>
      </c>
      <c r="L266" s="18" t="s">
        <v>35</v>
      </c>
      <c r="M266" s="18" t="s">
        <v>26</v>
      </c>
    </row>
    <row r="267" spans="1:13" x14ac:dyDescent="0.35">
      <c r="A267" s="18">
        <v>1266</v>
      </c>
      <c r="B267" s="27">
        <v>45911</v>
      </c>
      <c r="C267" s="18" t="s">
        <v>14</v>
      </c>
      <c r="D267" s="18" t="s">
        <v>22</v>
      </c>
      <c r="E267" s="18" t="s">
        <v>76</v>
      </c>
      <c r="F267" s="18" t="s">
        <v>24</v>
      </c>
      <c r="G267" s="18" t="s">
        <v>63</v>
      </c>
      <c r="H267" s="18">
        <v>12</v>
      </c>
      <c r="I267" s="18">
        <v>420.63</v>
      </c>
      <c r="J267" s="18">
        <v>0.05</v>
      </c>
      <c r="K267" s="18">
        <v>4795.18</v>
      </c>
      <c r="L267" s="18" t="s">
        <v>35</v>
      </c>
      <c r="M267" s="18" t="s">
        <v>26</v>
      </c>
    </row>
    <row r="268" spans="1:13" x14ac:dyDescent="0.35">
      <c r="A268" s="18">
        <v>1267</v>
      </c>
      <c r="B268" s="27">
        <v>45924</v>
      </c>
      <c r="C268" s="18" t="s">
        <v>14</v>
      </c>
      <c r="D268" s="18" t="s">
        <v>54</v>
      </c>
      <c r="E268" s="18" t="s">
        <v>102</v>
      </c>
      <c r="F268" s="18" t="s">
        <v>17</v>
      </c>
      <c r="G268" s="18" t="s">
        <v>46</v>
      </c>
      <c r="H268" s="18">
        <v>10</v>
      </c>
      <c r="I268" s="18">
        <v>468.2</v>
      </c>
      <c r="J268" s="18">
        <v>0.15</v>
      </c>
      <c r="K268" s="18">
        <v>3979.7</v>
      </c>
      <c r="L268" s="18" t="s">
        <v>35</v>
      </c>
      <c r="M268" s="18" t="s">
        <v>36</v>
      </c>
    </row>
    <row r="269" spans="1:13" x14ac:dyDescent="0.35">
      <c r="A269" s="18">
        <v>1268</v>
      </c>
      <c r="B269" s="27">
        <v>46094</v>
      </c>
      <c r="C269" s="18" t="s">
        <v>14</v>
      </c>
      <c r="D269" s="18" t="s">
        <v>47</v>
      </c>
      <c r="E269" s="18" t="s">
        <v>55</v>
      </c>
      <c r="F269" s="18" t="s">
        <v>33</v>
      </c>
      <c r="G269" s="18" t="s">
        <v>61</v>
      </c>
      <c r="H269" s="18">
        <v>6</v>
      </c>
      <c r="I269" s="18">
        <v>76.27</v>
      </c>
      <c r="J269" s="18">
        <v>0.1</v>
      </c>
      <c r="K269" s="18">
        <v>411.86</v>
      </c>
      <c r="L269" s="18" t="s">
        <v>39</v>
      </c>
      <c r="M269" s="18" t="s">
        <v>36</v>
      </c>
    </row>
    <row r="270" spans="1:13" x14ac:dyDescent="0.35">
      <c r="A270" s="18">
        <v>1269</v>
      </c>
      <c r="B270" s="27">
        <v>45804</v>
      </c>
      <c r="C270" s="18" t="s">
        <v>14</v>
      </c>
      <c r="D270" s="18" t="s">
        <v>28</v>
      </c>
      <c r="E270" s="18" t="s">
        <v>93</v>
      </c>
      <c r="F270" s="18" t="s">
        <v>33</v>
      </c>
      <c r="G270" s="18" t="s">
        <v>61</v>
      </c>
      <c r="H270" s="18">
        <v>14</v>
      </c>
      <c r="I270" s="18">
        <v>703.31</v>
      </c>
      <c r="J270" s="18">
        <v>0.15</v>
      </c>
      <c r="K270" s="18">
        <v>8369.39</v>
      </c>
      <c r="L270" s="18" t="s">
        <v>35</v>
      </c>
      <c r="M270" s="18" t="s">
        <v>26</v>
      </c>
    </row>
    <row r="271" spans="1:13" x14ac:dyDescent="0.35">
      <c r="A271" s="18">
        <v>1270</v>
      </c>
      <c r="B271" s="27">
        <v>45679</v>
      </c>
      <c r="C271" s="18" t="s">
        <v>27</v>
      </c>
      <c r="D271" s="18" t="s">
        <v>31</v>
      </c>
      <c r="E271" s="18" t="s">
        <v>49</v>
      </c>
      <c r="F271" s="18" t="s">
        <v>17</v>
      </c>
      <c r="G271" s="18" t="s">
        <v>30</v>
      </c>
      <c r="H271" s="18">
        <v>1</v>
      </c>
      <c r="I271" s="18">
        <v>1107.9100000000001</v>
      </c>
      <c r="J271" s="18">
        <v>0.15</v>
      </c>
      <c r="K271" s="18">
        <v>941.72</v>
      </c>
      <c r="L271" s="18" t="s">
        <v>35</v>
      </c>
      <c r="M271" s="18" t="s">
        <v>20</v>
      </c>
    </row>
    <row r="272" spans="1:13" x14ac:dyDescent="0.35">
      <c r="A272" s="18">
        <v>1271</v>
      </c>
      <c r="B272" s="27">
        <v>46172</v>
      </c>
      <c r="C272" s="18" t="s">
        <v>21</v>
      </c>
      <c r="D272" s="18" t="s">
        <v>54</v>
      </c>
      <c r="E272" s="18" t="s">
        <v>99</v>
      </c>
      <c r="F272" s="18" t="s">
        <v>17</v>
      </c>
      <c r="G272" s="18" t="s">
        <v>30</v>
      </c>
      <c r="H272" s="18">
        <v>15</v>
      </c>
      <c r="I272" s="18">
        <v>883.6</v>
      </c>
      <c r="J272" s="18">
        <v>0.05</v>
      </c>
      <c r="K272" s="18">
        <v>12591.3</v>
      </c>
      <c r="L272" s="18" t="s">
        <v>19</v>
      </c>
      <c r="M272" s="18" t="s">
        <v>26</v>
      </c>
    </row>
    <row r="273" spans="1:13" x14ac:dyDescent="0.35">
      <c r="A273" s="18">
        <v>1272</v>
      </c>
      <c r="B273" s="27">
        <v>45715</v>
      </c>
      <c r="C273" s="18" t="s">
        <v>14</v>
      </c>
      <c r="D273" s="18" t="s">
        <v>28</v>
      </c>
      <c r="E273" s="18" t="s">
        <v>69</v>
      </c>
      <c r="F273" s="18" t="s">
        <v>17</v>
      </c>
      <c r="G273" s="18" t="s">
        <v>18</v>
      </c>
      <c r="H273" s="18">
        <v>2</v>
      </c>
      <c r="I273" s="18">
        <v>711.63</v>
      </c>
      <c r="J273" s="18">
        <v>0.1</v>
      </c>
      <c r="K273" s="18">
        <v>1280.93</v>
      </c>
      <c r="L273" s="18" t="s">
        <v>35</v>
      </c>
      <c r="M273" s="18" t="s">
        <v>36</v>
      </c>
    </row>
    <row r="274" spans="1:13" x14ac:dyDescent="0.35">
      <c r="A274" s="18">
        <v>1273</v>
      </c>
      <c r="B274" s="27">
        <v>45781</v>
      </c>
      <c r="C274" s="18" t="s">
        <v>14</v>
      </c>
      <c r="D274" s="18" t="s">
        <v>31</v>
      </c>
      <c r="E274" s="18" t="s">
        <v>89</v>
      </c>
      <c r="F274" s="18" t="s">
        <v>24</v>
      </c>
      <c r="G274" s="18" t="s">
        <v>38</v>
      </c>
      <c r="H274" s="18">
        <v>13</v>
      </c>
      <c r="I274" s="18">
        <v>447.82</v>
      </c>
      <c r="J274" s="18">
        <v>0.15</v>
      </c>
      <c r="K274" s="18">
        <v>4948.41</v>
      </c>
      <c r="L274" s="18" t="s">
        <v>39</v>
      </c>
      <c r="M274" s="18" t="s">
        <v>26</v>
      </c>
    </row>
    <row r="275" spans="1:13" x14ac:dyDescent="0.35">
      <c r="A275" s="18">
        <v>1274</v>
      </c>
      <c r="B275" s="27">
        <v>45688</v>
      </c>
      <c r="C275" s="18" t="s">
        <v>43</v>
      </c>
      <c r="D275" s="18" t="s">
        <v>54</v>
      </c>
      <c r="E275" s="18" t="s">
        <v>55</v>
      </c>
      <c r="F275" s="18" t="s">
        <v>17</v>
      </c>
      <c r="G275" s="18" t="s">
        <v>46</v>
      </c>
      <c r="H275" s="18">
        <v>2</v>
      </c>
      <c r="I275" s="18">
        <v>136.44999999999999</v>
      </c>
      <c r="J275" s="18">
        <v>0.05</v>
      </c>
      <c r="K275" s="18">
        <v>259.25</v>
      </c>
      <c r="L275" s="18" t="s">
        <v>19</v>
      </c>
      <c r="M275" s="18" t="s">
        <v>20</v>
      </c>
    </row>
    <row r="276" spans="1:13" x14ac:dyDescent="0.35">
      <c r="A276" s="18">
        <v>1275</v>
      </c>
      <c r="B276" s="27">
        <v>46187</v>
      </c>
      <c r="C276" s="18" t="s">
        <v>21</v>
      </c>
      <c r="D276" s="18" t="s">
        <v>31</v>
      </c>
      <c r="E276" s="18" t="s">
        <v>64</v>
      </c>
      <c r="F276" s="18" t="s">
        <v>17</v>
      </c>
      <c r="G276" s="18" t="s">
        <v>30</v>
      </c>
      <c r="H276" s="18">
        <v>5</v>
      </c>
      <c r="I276" s="18">
        <v>406.32</v>
      </c>
      <c r="J276" s="18">
        <v>0</v>
      </c>
      <c r="K276" s="18">
        <v>2031.6</v>
      </c>
      <c r="L276" s="18" t="s">
        <v>39</v>
      </c>
      <c r="M276" s="18" t="s">
        <v>26</v>
      </c>
    </row>
    <row r="277" spans="1:13" x14ac:dyDescent="0.35">
      <c r="A277" s="18">
        <v>1276</v>
      </c>
      <c r="B277" s="27">
        <v>45658</v>
      </c>
      <c r="C277" s="18" t="s">
        <v>21</v>
      </c>
      <c r="D277" s="18" t="s">
        <v>22</v>
      </c>
      <c r="E277" s="18" t="s">
        <v>23</v>
      </c>
      <c r="F277" s="18" t="s">
        <v>24</v>
      </c>
      <c r="G277" s="18" t="s">
        <v>25</v>
      </c>
      <c r="H277" s="18">
        <v>4</v>
      </c>
      <c r="I277" s="18">
        <v>674.92</v>
      </c>
      <c r="J277" s="18">
        <v>0</v>
      </c>
      <c r="K277" s="18">
        <v>2699.68</v>
      </c>
      <c r="L277" s="18" t="s">
        <v>19</v>
      </c>
      <c r="M277" s="18" t="s">
        <v>26</v>
      </c>
    </row>
    <row r="278" spans="1:13" x14ac:dyDescent="0.35">
      <c r="A278" s="18">
        <v>1277</v>
      </c>
      <c r="B278" s="27">
        <v>46103</v>
      </c>
      <c r="C278" s="18" t="s">
        <v>14</v>
      </c>
      <c r="D278" s="18" t="s">
        <v>31</v>
      </c>
      <c r="E278" s="18" t="s">
        <v>119</v>
      </c>
      <c r="F278" s="18" t="s">
        <v>33</v>
      </c>
      <c r="G278" s="18" t="s">
        <v>61</v>
      </c>
      <c r="H278" s="18">
        <v>5</v>
      </c>
      <c r="I278" s="18">
        <v>136.04</v>
      </c>
      <c r="J278" s="18">
        <v>0.15</v>
      </c>
      <c r="K278" s="18">
        <v>578.16999999999996</v>
      </c>
      <c r="L278" s="18" t="s">
        <v>19</v>
      </c>
      <c r="M278" s="18" t="s">
        <v>26</v>
      </c>
    </row>
    <row r="279" spans="1:13" x14ac:dyDescent="0.35">
      <c r="A279" s="18">
        <v>1278</v>
      </c>
      <c r="B279" s="27">
        <v>46036</v>
      </c>
      <c r="C279" s="18" t="s">
        <v>27</v>
      </c>
      <c r="D279" s="18" t="s">
        <v>31</v>
      </c>
      <c r="E279" s="18" t="s">
        <v>119</v>
      </c>
      <c r="F279" s="18" t="s">
        <v>33</v>
      </c>
      <c r="G279" s="18" t="s">
        <v>61</v>
      </c>
      <c r="H279" s="18">
        <v>4</v>
      </c>
      <c r="I279" s="18">
        <v>209.36</v>
      </c>
      <c r="J279" s="18">
        <v>0</v>
      </c>
      <c r="K279" s="18">
        <v>837.44</v>
      </c>
      <c r="L279" s="18" t="s">
        <v>35</v>
      </c>
      <c r="M279" s="18" t="s">
        <v>20</v>
      </c>
    </row>
    <row r="280" spans="1:13" x14ac:dyDescent="0.35">
      <c r="A280" s="18">
        <v>1279</v>
      </c>
      <c r="B280" s="27">
        <v>46003</v>
      </c>
      <c r="C280" s="18" t="s">
        <v>21</v>
      </c>
      <c r="D280" s="18" t="s">
        <v>31</v>
      </c>
      <c r="E280" s="18" t="s">
        <v>92</v>
      </c>
      <c r="F280" s="18" t="s">
        <v>33</v>
      </c>
      <c r="G280" s="18" t="s">
        <v>61</v>
      </c>
      <c r="H280" s="18">
        <v>9</v>
      </c>
      <c r="I280" s="18">
        <v>1016.59</v>
      </c>
      <c r="J280" s="18">
        <v>0.15</v>
      </c>
      <c r="K280" s="18">
        <v>7776.91</v>
      </c>
      <c r="L280" s="18" t="s">
        <v>19</v>
      </c>
      <c r="M280" s="18" t="s">
        <v>20</v>
      </c>
    </row>
    <row r="281" spans="1:13" x14ac:dyDescent="0.35">
      <c r="A281" s="18">
        <v>1280</v>
      </c>
      <c r="B281" s="27">
        <v>45973</v>
      </c>
      <c r="C281" s="18" t="s">
        <v>21</v>
      </c>
      <c r="D281" s="18" t="s">
        <v>54</v>
      </c>
      <c r="E281" s="18" t="s">
        <v>79</v>
      </c>
      <c r="F281" s="18" t="s">
        <v>24</v>
      </c>
      <c r="G281" s="18" t="s">
        <v>63</v>
      </c>
      <c r="H281" s="18">
        <v>6</v>
      </c>
      <c r="I281" s="18">
        <v>177.72</v>
      </c>
      <c r="J281" s="18">
        <v>0.05</v>
      </c>
      <c r="K281" s="18">
        <v>1013</v>
      </c>
      <c r="L281" s="18" t="s">
        <v>39</v>
      </c>
      <c r="M281" s="18" t="s">
        <v>36</v>
      </c>
    </row>
    <row r="282" spans="1:13" x14ac:dyDescent="0.35">
      <c r="A282" s="18">
        <v>1281</v>
      </c>
      <c r="B282" s="27">
        <v>45990</v>
      </c>
      <c r="C282" s="18" t="s">
        <v>27</v>
      </c>
      <c r="D282" s="18" t="s">
        <v>31</v>
      </c>
      <c r="E282" s="18" t="s">
        <v>37</v>
      </c>
      <c r="F282" s="18" t="s">
        <v>17</v>
      </c>
      <c r="G282" s="18" t="s">
        <v>46</v>
      </c>
      <c r="H282" s="18">
        <v>7</v>
      </c>
      <c r="I282" s="18">
        <v>178.11</v>
      </c>
      <c r="J282" s="18">
        <v>0.1</v>
      </c>
      <c r="K282" s="18">
        <v>1122.0899999999999</v>
      </c>
      <c r="L282" s="18" t="s">
        <v>39</v>
      </c>
      <c r="M282" s="18" t="s">
        <v>26</v>
      </c>
    </row>
    <row r="283" spans="1:13" x14ac:dyDescent="0.35">
      <c r="A283" s="18">
        <v>1282</v>
      </c>
      <c r="B283" s="27">
        <v>45949</v>
      </c>
      <c r="C283" s="18" t="s">
        <v>14</v>
      </c>
      <c r="D283" s="18" t="s">
        <v>47</v>
      </c>
      <c r="E283" s="18" t="s">
        <v>42</v>
      </c>
      <c r="F283" s="18" t="s">
        <v>33</v>
      </c>
      <c r="G283" s="18" t="s">
        <v>61</v>
      </c>
      <c r="H283" s="18">
        <v>12</v>
      </c>
      <c r="I283" s="18">
        <v>753.77</v>
      </c>
      <c r="J283" s="18">
        <v>0.1</v>
      </c>
      <c r="K283" s="18">
        <v>8140.72</v>
      </c>
      <c r="L283" s="18" t="s">
        <v>39</v>
      </c>
      <c r="M283" s="18" t="s">
        <v>36</v>
      </c>
    </row>
    <row r="284" spans="1:13" x14ac:dyDescent="0.35">
      <c r="A284" s="18">
        <v>1283</v>
      </c>
      <c r="B284" s="27">
        <v>46053</v>
      </c>
      <c r="C284" s="18" t="s">
        <v>27</v>
      </c>
      <c r="D284" s="18" t="s">
        <v>54</v>
      </c>
      <c r="E284" s="18" t="s">
        <v>49</v>
      </c>
      <c r="F284" s="18" t="s">
        <v>17</v>
      </c>
      <c r="G284" s="18" t="s">
        <v>46</v>
      </c>
      <c r="H284" s="18">
        <v>1</v>
      </c>
      <c r="I284" s="18">
        <v>1110.3699999999999</v>
      </c>
      <c r="J284" s="18">
        <v>0.1</v>
      </c>
      <c r="K284" s="18">
        <v>999.33</v>
      </c>
      <c r="L284" s="18" t="s">
        <v>39</v>
      </c>
      <c r="M284" s="18" t="s">
        <v>36</v>
      </c>
    </row>
    <row r="285" spans="1:13" x14ac:dyDescent="0.35">
      <c r="A285" s="18">
        <v>1284</v>
      </c>
      <c r="B285" s="27">
        <v>45750</v>
      </c>
      <c r="C285" s="18" t="s">
        <v>27</v>
      </c>
      <c r="D285" s="18" t="s">
        <v>31</v>
      </c>
      <c r="E285" s="18" t="s">
        <v>80</v>
      </c>
      <c r="F285" s="18" t="s">
        <v>17</v>
      </c>
      <c r="G285" s="18" t="s">
        <v>46</v>
      </c>
      <c r="H285" s="18">
        <v>8</v>
      </c>
      <c r="I285" s="18">
        <v>495.46</v>
      </c>
      <c r="J285" s="18">
        <v>0.1</v>
      </c>
      <c r="K285" s="18">
        <v>3567.31</v>
      </c>
      <c r="L285" s="18" t="s">
        <v>19</v>
      </c>
      <c r="M285" s="18" t="s">
        <v>26</v>
      </c>
    </row>
    <row r="286" spans="1:13" x14ac:dyDescent="0.35">
      <c r="A286" s="18">
        <v>1285</v>
      </c>
      <c r="B286" s="27">
        <v>45875</v>
      </c>
      <c r="C286" s="18" t="s">
        <v>43</v>
      </c>
      <c r="D286" s="18" t="s">
        <v>47</v>
      </c>
      <c r="E286" s="18" t="s">
        <v>100</v>
      </c>
      <c r="F286" s="18" t="s">
        <v>24</v>
      </c>
      <c r="G286" s="18" t="s">
        <v>38</v>
      </c>
      <c r="H286" s="18">
        <v>9</v>
      </c>
      <c r="I286" s="18">
        <v>215.53</v>
      </c>
      <c r="J286" s="18">
        <v>0.05</v>
      </c>
      <c r="K286" s="18">
        <v>1842.78</v>
      </c>
      <c r="L286" s="18" t="s">
        <v>19</v>
      </c>
      <c r="M286" s="18" t="s">
        <v>26</v>
      </c>
    </row>
    <row r="287" spans="1:13" x14ac:dyDescent="0.35">
      <c r="A287" s="18">
        <v>1286</v>
      </c>
      <c r="B287" s="27">
        <v>45711</v>
      </c>
      <c r="C287" s="18" t="s">
        <v>14</v>
      </c>
      <c r="D287" s="18" t="s">
        <v>54</v>
      </c>
      <c r="E287" s="18" t="s">
        <v>66</v>
      </c>
      <c r="F287" s="18" t="s">
        <v>17</v>
      </c>
      <c r="G287" s="18" t="s">
        <v>18</v>
      </c>
      <c r="H287" s="18">
        <v>7</v>
      </c>
      <c r="I287" s="18">
        <v>770.1</v>
      </c>
      <c r="J287" s="18">
        <v>0.15</v>
      </c>
      <c r="K287" s="18">
        <v>4582.09</v>
      </c>
      <c r="L287" s="18" t="s">
        <v>35</v>
      </c>
      <c r="M287" s="18" t="s">
        <v>26</v>
      </c>
    </row>
    <row r="288" spans="1:13" x14ac:dyDescent="0.35">
      <c r="A288" s="18">
        <v>1287</v>
      </c>
      <c r="B288" s="27">
        <v>45871</v>
      </c>
      <c r="C288" s="18" t="s">
        <v>27</v>
      </c>
      <c r="D288" s="18" t="s">
        <v>47</v>
      </c>
      <c r="E288" s="18" t="s">
        <v>64</v>
      </c>
      <c r="F288" s="18" t="s">
        <v>24</v>
      </c>
      <c r="G288" s="18" t="s">
        <v>25</v>
      </c>
      <c r="H288" s="18">
        <v>15</v>
      </c>
      <c r="I288" s="18">
        <v>265.45999999999998</v>
      </c>
      <c r="J288" s="18">
        <v>0.15</v>
      </c>
      <c r="K288" s="18">
        <v>3384.61</v>
      </c>
      <c r="L288" s="18" t="s">
        <v>19</v>
      </c>
      <c r="M288" s="18" t="s">
        <v>26</v>
      </c>
    </row>
    <row r="289" spans="1:13" x14ac:dyDescent="0.35">
      <c r="A289" s="18">
        <v>1288</v>
      </c>
      <c r="B289" s="27">
        <v>45742</v>
      </c>
      <c r="C289" s="18" t="s">
        <v>21</v>
      </c>
      <c r="D289" s="18" t="s">
        <v>31</v>
      </c>
      <c r="E289" s="18" t="s">
        <v>80</v>
      </c>
      <c r="F289" s="18" t="s">
        <v>17</v>
      </c>
      <c r="G289" s="18" t="s">
        <v>18</v>
      </c>
      <c r="H289" s="18">
        <v>14</v>
      </c>
      <c r="I289" s="18">
        <v>40.82</v>
      </c>
      <c r="J289" s="18">
        <v>0.05</v>
      </c>
      <c r="K289" s="18">
        <v>542.91</v>
      </c>
      <c r="L289" s="18" t="s">
        <v>39</v>
      </c>
      <c r="M289" s="18" t="s">
        <v>36</v>
      </c>
    </row>
    <row r="290" spans="1:13" x14ac:dyDescent="0.35">
      <c r="A290" s="18">
        <v>1289</v>
      </c>
      <c r="B290" s="27">
        <v>45962</v>
      </c>
      <c r="C290" s="18" t="s">
        <v>14</v>
      </c>
      <c r="D290" s="18" t="s">
        <v>22</v>
      </c>
      <c r="E290" s="18" t="s">
        <v>71</v>
      </c>
      <c r="F290" s="18" t="s">
        <v>17</v>
      </c>
      <c r="G290" s="18" t="s">
        <v>18</v>
      </c>
      <c r="H290" s="18">
        <v>15</v>
      </c>
      <c r="I290" s="18">
        <v>1129.8399999999999</v>
      </c>
      <c r="J290" s="18">
        <v>0.15</v>
      </c>
      <c r="K290" s="18">
        <v>14405.46</v>
      </c>
      <c r="L290" s="18" t="s">
        <v>19</v>
      </c>
      <c r="M290" s="18" t="s">
        <v>36</v>
      </c>
    </row>
    <row r="291" spans="1:13" x14ac:dyDescent="0.35">
      <c r="A291" s="18">
        <v>1290</v>
      </c>
      <c r="B291" s="27">
        <v>46150</v>
      </c>
      <c r="C291" s="18" t="s">
        <v>27</v>
      </c>
      <c r="D291" s="18" t="s">
        <v>22</v>
      </c>
      <c r="E291" s="18" t="s">
        <v>121</v>
      </c>
      <c r="F291" s="18" t="s">
        <v>17</v>
      </c>
      <c r="G291" s="18" t="s">
        <v>30</v>
      </c>
      <c r="H291" s="18">
        <v>1</v>
      </c>
      <c r="I291" s="18">
        <v>759.55</v>
      </c>
      <c r="J291" s="18">
        <v>0.05</v>
      </c>
      <c r="K291" s="18">
        <v>721.57</v>
      </c>
      <c r="L291" s="18" t="s">
        <v>35</v>
      </c>
      <c r="M291" s="18" t="s">
        <v>20</v>
      </c>
    </row>
    <row r="292" spans="1:13" x14ac:dyDescent="0.35">
      <c r="A292" s="18">
        <v>1291</v>
      </c>
      <c r="B292" s="27">
        <v>45941</v>
      </c>
      <c r="C292" s="18" t="s">
        <v>21</v>
      </c>
      <c r="D292" s="18" t="s">
        <v>28</v>
      </c>
      <c r="E292" s="18" t="s">
        <v>82</v>
      </c>
      <c r="F292" s="18" t="s">
        <v>17</v>
      </c>
      <c r="G292" s="18" t="s">
        <v>30</v>
      </c>
      <c r="H292" s="18">
        <v>4</v>
      </c>
      <c r="I292" s="18">
        <v>882.92</v>
      </c>
      <c r="J292" s="18">
        <v>0.1</v>
      </c>
      <c r="K292" s="18">
        <v>3178.51</v>
      </c>
      <c r="L292" s="18" t="s">
        <v>35</v>
      </c>
      <c r="M292" s="18" t="s">
        <v>36</v>
      </c>
    </row>
    <row r="293" spans="1:13" x14ac:dyDescent="0.35">
      <c r="A293" s="18">
        <v>1292</v>
      </c>
      <c r="B293" s="27">
        <v>45722</v>
      </c>
      <c r="C293" s="18" t="s">
        <v>43</v>
      </c>
      <c r="D293" s="18" t="s">
        <v>54</v>
      </c>
      <c r="E293" s="18" t="s">
        <v>73</v>
      </c>
      <c r="F293" s="18" t="s">
        <v>33</v>
      </c>
      <c r="G293" s="18" t="s">
        <v>61</v>
      </c>
      <c r="H293" s="18">
        <v>13</v>
      </c>
      <c r="I293" s="18">
        <v>1047.26</v>
      </c>
      <c r="J293" s="18">
        <v>0.05</v>
      </c>
      <c r="K293" s="18">
        <v>12933.66</v>
      </c>
      <c r="L293" s="18" t="s">
        <v>39</v>
      </c>
      <c r="M293" s="18" t="s">
        <v>36</v>
      </c>
    </row>
    <row r="294" spans="1:13" x14ac:dyDescent="0.35">
      <c r="A294" s="18">
        <v>1293</v>
      </c>
      <c r="B294" s="27">
        <v>46099</v>
      </c>
      <c r="C294" s="18" t="s">
        <v>14</v>
      </c>
      <c r="D294" s="18" t="s">
        <v>31</v>
      </c>
      <c r="E294" s="18" t="s">
        <v>90</v>
      </c>
      <c r="F294" s="18" t="s">
        <v>33</v>
      </c>
      <c r="G294" s="18" t="s">
        <v>53</v>
      </c>
      <c r="H294" s="18">
        <v>3</v>
      </c>
      <c r="I294" s="18">
        <v>870.87</v>
      </c>
      <c r="J294" s="18">
        <v>0.1</v>
      </c>
      <c r="K294" s="18">
        <v>2351.35</v>
      </c>
      <c r="L294" s="18" t="s">
        <v>39</v>
      </c>
      <c r="M294" s="18" t="s">
        <v>26</v>
      </c>
    </row>
    <row r="295" spans="1:13" x14ac:dyDescent="0.35">
      <c r="A295" s="18">
        <v>1294</v>
      </c>
      <c r="B295" s="27">
        <v>46035</v>
      </c>
      <c r="C295" s="18" t="s">
        <v>43</v>
      </c>
      <c r="D295" s="18" t="s">
        <v>31</v>
      </c>
      <c r="E295" s="18" t="s">
        <v>118</v>
      </c>
      <c r="F295" s="18" t="s">
        <v>17</v>
      </c>
      <c r="G295" s="18" t="s">
        <v>18</v>
      </c>
      <c r="H295" s="18">
        <v>6</v>
      </c>
      <c r="I295" s="18">
        <v>348.5</v>
      </c>
      <c r="J295" s="18">
        <v>0</v>
      </c>
      <c r="K295" s="18">
        <v>2091</v>
      </c>
      <c r="L295" s="18" t="s">
        <v>39</v>
      </c>
      <c r="M295" s="18" t="s">
        <v>20</v>
      </c>
    </row>
    <row r="296" spans="1:13" x14ac:dyDescent="0.35">
      <c r="A296" s="18">
        <v>1295</v>
      </c>
      <c r="B296" s="27">
        <v>46178</v>
      </c>
      <c r="C296" s="18" t="s">
        <v>27</v>
      </c>
      <c r="D296" s="18" t="s">
        <v>22</v>
      </c>
      <c r="E296" s="18" t="s">
        <v>66</v>
      </c>
      <c r="F296" s="18" t="s">
        <v>24</v>
      </c>
      <c r="G296" s="18" t="s">
        <v>38</v>
      </c>
      <c r="H296" s="18">
        <v>3</v>
      </c>
      <c r="I296" s="18">
        <v>174.72</v>
      </c>
      <c r="J296" s="18">
        <v>0.15</v>
      </c>
      <c r="K296" s="18">
        <v>445.54</v>
      </c>
      <c r="L296" s="18" t="s">
        <v>19</v>
      </c>
      <c r="M296" s="18" t="s">
        <v>26</v>
      </c>
    </row>
    <row r="297" spans="1:13" x14ac:dyDescent="0.35">
      <c r="A297" s="18">
        <v>1296</v>
      </c>
      <c r="B297" s="27">
        <v>45939</v>
      </c>
      <c r="C297" s="18" t="s">
        <v>27</v>
      </c>
      <c r="D297" s="18" t="s">
        <v>31</v>
      </c>
      <c r="E297" s="18" t="s">
        <v>83</v>
      </c>
      <c r="F297" s="18" t="s">
        <v>17</v>
      </c>
      <c r="G297" s="18" t="s">
        <v>18</v>
      </c>
      <c r="H297" s="18">
        <v>11</v>
      </c>
      <c r="I297" s="18">
        <v>738.18</v>
      </c>
      <c r="J297" s="18">
        <v>0.15</v>
      </c>
      <c r="K297" s="18">
        <v>6901.98</v>
      </c>
      <c r="L297" s="18" t="s">
        <v>39</v>
      </c>
      <c r="M297" s="18" t="s">
        <v>36</v>
      </c>
    </row>
    <row r="298" spans="1:13" x14ac:dyDescent="0.35">
      <c r="A298" s="18">
        <v>1297</v>
      </c>
      <c r="B298" s="27">
        <v>46090</v>
      </c>
      <c r="C298" s="18" t="s">
        <v>27</v>
      </c>
      <c r="D298" s="18" t="s">
        <v>54</v>
      </c>
      <c r="E298" s="18" t="s">
        <v>85</v>
      </c>
      <c r="F298" s="18" t="s">
        <v>33</v>
      </c>
      <c r="G298" s="18" t="s">
        <v>34</v>
      </c>
      <c r="H298" s="18">
        <v>5</v>
      </c>
      <c r="I298" s="18">
        <v>917.07</v>
      </c>
      <c r="J298" s="18">
        <v>0.05</v>
      </c>
      <c r="K298" s="18">
        <v>4356.08</v>
      </c>
      <c r="L298" s="18" t="s">
        <v>39</v>
      </c>
      <c r="M298" s="18" t="s">
        <v>20</v>
      </c>
    </row>
    <row r="299" spans="1:13" x14ac:dyDescent="0.35">
      <c r="A299" s="18">
        <v>1298</v>
      </c>
      <c r="B299" s="27">
        <v>45861</v>
      </c>
      <c r="C299" s="18" t="s">
        <v>21</v>
      </c>
      <c r="D299" s="18" t="s">
        <v>22</v>
      </c>
      <c r="E299" s="18" t="s">
        <v>72</v>
      </c>
      <c r="F299" s="18" t="s">
        <v>33</v>
      </c>
      <c r="G299" s="18" t="s">
        <v>61</v>
      </c>
      <c r="H299" s="18">
        <v>8</v>
      </c>
      <c r="I299" s="18">
        <v>252.2</v>
      </c>
      <c r="J299" s="18">
        <v>0</v>
      </c>
      <c r="K299" s="18">
        <v>2017.6</v>
      </c>
      <c r="L299" s="18" t="s">
        <v>35</v>
      </c>
      <c r="M299" s="18" t="s">
        <v>20</v>
      </c>
    </row>
    <row r="300" spans="1:13" x14ac:dyDescent="0.35">
      <c r="A300" s="18">
        <v>1299</v>
      </c>
      <c r="B300" s="27">
        <v>45707</v>
      </c>
      <c r="C300" s="18" t="s">
        <v>27</v>
      </c>
      <c r="D300" s="18" t="s">
        <v>54</v>
      </c>
      <c r="E300" s="18" t="s">
        <v>60</v>
      </c>
      <c r="F300" s="18" t="s">
        <v>17</v>
      </c>
      <c r="G300" s="18" t="s">
        <v>46</v>
      </c>
      <c r="H300" s="18">
        <v>1</v>
      </c>
      <c r="I300" s="18">
        <v>127.11</v>
      </c>
      <c r="J300" s="18">
        <v>0.1</v>
      </c>
      <c r="K300" s="18">
        <v>114.4</v>
      </c>
      <c r="L300" s="18" t="s">
        <v>19</v>
      </c>
      <c r="M300" s="18" t="s">
        <v>26</v>
      </c>
    </row>
    <row r="301" spans="1:13" x14ac:dyDescent="0.35">
      <c r="A301" s="18">
        <v>1300</v>
      </c>
      <c r="B301" s="27">
        <v>45720</v>
      </c>
      <c r="C301" s="18" t="s">
        <v>21</v>
      </c>
      <c r="D301" s="18" t="s">
        <v>54</v>
      </c>
      <c r="E301" s="18" t="s">
        <v>72</v>
      </c>
      <c r="F301" s="18" t="s">
        <v>24</v>
      </c>
      <c r="G301" s="18" t="s">
        <v>25</v>
      </c>
      <c r="H301" s="18">
        <v>8</v>
      </c>
      <c r="I301" s="18">
        <v>435.43</v>
      </c>
      <c r="J301" s="18">
        <v>0.15</v>
      </c>
      <c r="K301" s="18">
        <v>2960.92</v>
      </c>
      <c r="L301" s="18" t="s">
        <v>19</v>
      </c>
      <c r="M301" s="18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01"/>
  <sheetViews>
    <sheetView zoomScale="118" zoomScaleNormal="119" workbookViewId="0">
      <selection activeCell="G13" sqref="G13"/>
    </sheetView>
  </sheetViews>
  <sheetFormatPr defaultRowHeight="14.5" x14ac:dyDescent="0.35"/>
  <cols>
    <col min="1" max="1" width="8.81640625" style="8" customWidth="1"/>
    <col min="2" max="2" width="13.36328125" style="1" customWidth="1"/>
    <col min="3" max="3" width="9.08984375" style="10" customWidth="1"/>
    <col min="4" max="4" width="12.26953125" style="10" customWidth="1"/>
    <col min="5" max="5" width="13.90625" style="10" customWidth="1"/>
    <col min="6" max="6" width="12.36328125" style="10" customWidth="1"/>
    <col min="7" max="7" width="12.1796875" style="10" customWidth="1"/>
    <col min="8" max="8" width="9.54296875" style="10" customWidth="1"/>
    <col min="9" max="9" width="10.54296875" style="10" customWidth="1"/>
    <col min="10" max="10" width="12.6328125" style="10" customWidth="1"/>
    <col min="11" max="11" width="12.08984375" style="10" customWidth="1"/>
    <col min="12" max="12" width="11.90625" style="10" customWidth="1"/>
    <col min="13" max="13" width="12.1796875" style="10" customWidth="1"/>
    <col min="14" max="14" width="15" style="10" customWidth="1"/>
  </cols>
  <sheetData>
    <row r="1" spans="1:14" ht="26" customHeight="1" x14ac:dyDescent="0.35">
      <c r="A1" s="21" t="s">
        <v>0</v>
      </c>
      <c r="B1" s="22" t="s">
        <v>1</v>
      </c>
      <c r="C1" s="23" t="s">
        <v>2</v>
      </c>
      <c r="D1" s="23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</row>
    <row r="2" spans="1:14" x14ac:dyDescent="0.35">
      <c r="A2" s="8">
        <v>1044</v>
      </c>
      <c r="B2" s="2">
        <v>45658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s="8">
        <v>9</v>
      </c>
      <c r="I2" s="8">
        <v>335.89</v>
      </c>
      <c r="J2" s="8">
        <v>0</v>
      </c>
      <c r="K2" s="3">
        <v>3023.01</v>
      </c>
      <c r="L2" t="s">
        <v>19</v>
      </c>
      <c r="M2" t="s">
        <v>20</v>
      </c>
      <c r="N2" s="3">
        <f>Table1[[#This Row],[Quantity]]*Table1[[#This Row],[UnitPrice]]*(1-Table1[[#This Row],[Discount]])</f>
        <v>3023.0099999999998</v>
      </c>
    </row>
    <row r="3" spans="1:14" x14ac:dyDescent="0.35">
      <c r="A3" s="8">
        <v>1276</v>
      </c>
      <c r="B3" s="2">
        <v>45658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s="8">
        <v>4</v>
      </c>
      <c r="I3" s="8">
        <v>674.92</v>
      </c>
      <c r="J3" s="8">
        <v>0</v>
      </c>
      <c r="K3" s="3">
        <v>2699.68</v>
      </c>
      <c r="L3" t="s">
        <v>19</v>
      </c>
      <c r="M3" t="s">
        <v>26</v>
      </c>
      <c r="N3" s="3">
        <f>Table1[[#This Row],[Quantity]]*Table1[[#This Row],[UnitPrice]]*(1-Table1[[#This Row],[Discount]])</f>
        <v>2699.68</v>
      </c>
    </row>
    <row r="4" spans="1:14" x14ac:dyDescent="0.35">
      <c r="A4" s="8">
        <v>1210</v>
      </c>
      <c r="B4" s="2">
        <v>45663</v>
      </c>
      <c r="C4" t="s">
        <v>27</v>
      </c>
      <c r="D4" t="s">
        <v>28</v>
      </c>
      <c r="E4" t="s">
        <v>29</v>
      </c>
      <c r="F4" t="s">
        <v>17</v>
      </c>
      <c r="G4" t="s">
        <v>30</v>
      </c>
      <c r="H4" s="8">
        <v>13</v>
      </c>
      <c r="I4" s="8">
        <v>519.66</v>
      </c>
      <c r="J4" s="8">
        <v>0.15</v>
      </c>
      <c r="K4" s="3">
        <v>5742.24</v>
      </c>
      <c r="L4" t="s">
        <v>19</v>
      </c>
      <c r="M4" t="s">
        <v>26</v>
      </c>
      <c r="N4" s="3">
        <f>Table1[[#This Row],[Quantity]]*Table1[[#This Row],[UnitPrice]]*(1-Table1[[#This Row],[Discount]])</f>
        <v>5742.2429999999995</v>
      </c>
    </row>
    <row r="5" spans="1:14" x14ac:dyDescent="0.35">
      <c r="A5" s="8">
        <v>1071</v>
      </c>
      <c r="B5" s="2">
        <v>45669</v>
      </c>
      <c r="C5" t="s">
        <v>14</v>
      </c>
      <c r="D5" t="s">
        <v>31</v>
      </c>
      <c r="E5" t="s">
        <v>32</v>
      </c>
      <c r="F5" t="s">
        <v>33</v>
      </c>
      <c r="G5" t="s">
        <v>34</v>
      </c>
      <c r="H5" s="8">
        <v>8</v>
      </c>
      <c r="I5" s="8">
        <v>1086.6600000000001</v>
      </c>
      <c r="J5" s="8">
        <v>0.15</v>
      </c>
      <c r="K5" s="3">
        <v>7389.29</v>
      </c>
      <c r="L5" t="s">
        <v>35</v>
      </c>
      <c r="M5" t="s">
        <v>36</v>
      </c>
      <c r="N5" s="3">
        <f>Table1[[#This Row],[Quantity]]*Table1[[#This Row],[UnitPrice]]*(1-Table1[[#This Row],[Discount]])</f>
        <v>7389.2880000000005</v>
      </c>
    </row>
    <row r="6" spans="1:14" x14ac:dyDescent="0.35">
      <c r="A6" s="8">
        <v>1026</v>
      </c>
      <c r="B6" s="2">
        <v>45670</v>
      </c>
      <c r="C6" t="s">
        <v>27</v>
      </c>
      <c r="D6" t="s">
        <v>22</v>
      </c>
      <c r="E6" t="s">
        <v>37</v>
      </c>
      <c r="F6" t="s">
        <v>24</v>
      </c>
      <c r="G6" t="s">
        <v>38</v>
      </c>
      <c r="H6" s="8">
        <v>14</v>
      </c>
      <c r="I6" s="8">
        <v>40.020000000000003</v>
      </c>
      <c r="J6" s="8">
        <v>0.15</v>
      </c>
      <c r="K6" s="3">
        <v>476.24</v>
      </c>
      <c r="L6" t="s">
        <v>39</v>
      </c>
      <c r="M6" t="s">
        <v>36</v>
      </c>
      <c r="N6" s="3">
        <f>Table1[[#This Row],[Quantity]]*Table1[[#This Row],[UnitPrice]]*(1-Table1[[#This Row],[Discount]])</f>
        <v>476.23800000000006</v>
      </c>
    </row>
    <row r="7" spans="1:14" x14ac:dyDescent="0.35">
      <c r="A7" s="8">
        <v>1222</v>
      </c>
      <c r="B7" s="2">
        <v>45672</v>
      </c>
      <c r="C7" t="s">
        <v>14</v>
      </c>
      <c r="D7" t="s">
        <v>31</v>
      </c>
      <c r="E7" t="s">
        <v>40</v>
      </c>
      <c r="F7" t="s">
        <v>17</v>
      </c>
      <c r="G7" t="s">
        <v>18</v>
      </c>
      <c r="H7" s="8">
        <v>9</v>
      </c>
      <c r="I7" s="8">
        <v>148.43</v>
      </c>
      <c r="J7" s="8">
        <v>0</v>
      </c>
      <c r="K7" s="3">
        <v>1335.87</v>
      </c>
      <c r="L7" t="s">
        <v>35</v>
      </c>
      <c r="M7" t="s">
        <v>36</v>
      </c>
      <c r="N7" s="3">
        <f>Table1[[#This Row],[Quantity]]*Table1[[#This Row],[UnitPrice]]*(1-Table1[[#This Row],[Discount]])</f>
        <v>1335.8700000000001</v>
      </c>
    </row>
    <row r="8" spans="1:14" x14ac:dyDescent="0.35">
      <c r="A8" s="8">
        <v>1147</v>
      </c>
      <c r="B8" s="2">
        <v>45673</v>
      </c>
      <c r="C8" t="s">
        <v>27</v>
      </c>
      <c r="D8" t="s">
        <v>28</v>
      </c>
      <c r="E8" t="s">
        <v>41</v>
      </c>
      <c r="F8" t="s">
        <v>24</v>
      </c>
      <c r="G8" t="s">
        <v>38</v>
      </c>
      <c r="H8" s="8">
        <v>9</v>
      </c>
      <c r="I8" s="8">
        <v>96.87</v>
      </c>
      <c r="J8" s="8">
        <v>0.05</v>
      </c>
      <c r="K8" s="3">
        <v>828.24</v>
      </c>
      <c r="L8" t="s">
        <v>39</v>
      </c>
      <c r="M8" t="s">
        <v>36</v>
      </c>
      <c r="N8" s="3">
        <f>Table1[[#This Row],[Quantity]]*Table1[[#This Row],[UnitPrice]]*(1-Table1[[#This Row],[Discount]])</f>
        <v>828.23850000000004</v>
      </c>
    </row>
    <row r="9" spans="1:14" x14ac:dyDescent="0.35">
      <c r="A9" s="8">
        <v>1069</v>
      </c>
      <c r="B9" s="2">
        <v>45674</v>
      </c>
      <c r="C9" t="s">
        <v>14</v>
      </c>
      <c r="D9" t="s">
        <v>31</v>
      </c>
      <c r="E9" t="s">
        <v>42</v>
      </c>
      <c r="F9" t="s">
        <v>17</v>
      </c>
      <c r="G9" t="s">
        <v>18</v>
      </c>
      <c r="H9" s="8">
        <v>4</v>
      </c>
      <c r="I9" s="8">
        <v>644.44000000000005</v>
      </c>
      <c r="J9" s="8">
        <v>0.05</v>
      </c>
      <c r="K9" s="3">
        <v>2448.87</v>
      </c>
      <c r="L9" t="s">
        <v>19</v>
      </c>
      <c r="M9" t="s">
        <v>26</v>
      </c>
      <c r="N9" s="3">
        <f>Table1[[#This Row],[Quantity]]*Table1[[#This Row],[UnitPrice]]*(1-Table1[[#This Row],[Discount]])</f>
        <v>2448.8720000000003</v>
      </c>
    </row>
    <row r="10" spans="1:14" x14ac:dyDescent="0.35">
      <c r="A10" s="8">
        <v>1090</v>
      </c>
      <c r="B10" s="2">
        <v>45675</v>
      </c>
      <c r="C10" t="s">
        <v>43</v>
      </c>
      <c r="D10" t="s">
        <v>15</v>
      </c>
      <c r="E10" t="s">
        <v>44</v>
      </c>
      <c r="F10" t="s">
        <v>33</v>
      </c>
      <c r="G10" t="s">
        <v>34</v>
      </c>
      <c r="H10" s="8">
        <v>9</v>
      </c>
      <c r="I10" s="8">
        <v>113.96</v>
      </c>
      <c r="J10" s="8">
        <v>0.05</v>
      </c>
      <c r="K10" s="3">
        <v>974.36</v>
      </c>
      <c r="L10" t="s">
        <v>19</v>
      </c>
      <c r="M10" t="s">
        <v>36</v>
      </c>
      <c r="N10" s="3">
        <f>Table1[[#This Row],[Quantity]]*Table1[[#This Row],[UnitPrice]]*(1-Table1[[#This Row],[Discount]])</f>
        <v>974.35799999999983</v>
      </c>
    </row>
    <row r="11" spans="1:14" x14ac:dyDescent="0.35">
      <c r="A11" s="8">
        <v>1078</v>
      </c>
      <c r="B11" s="2">
        <v>45677</v>
      </c>
      <c r="C11" t="s">
        <v>14</v>
      </c>
      <c r="D11" t="s">
        <v>22</v>
      </c>
      <c r="E11" t="s">
        <v>45</v>
      </c>
      <c r="F11" t="s">
        <v>17</v>
      </c>
      <c r="G11" t="s">
        <v>46</v>
      </c>
      <c r="H11" s="8">
        <v>13</v>
      </c>
      <c r="I11" s="8">
        <v>56.99</v>
      </c>
      <c r="J11" s="8">
        <v>0.1</v>
      </c>
      <c r="K11" s="3">
        <v>666.78</v>
      </c>
      <c r="L11" t="s">
        <v>19</v>
      </c>
      <c r="M11" t="s">
        <v>26</v>
      </c>
      <c r="N11" s="3">
        <f>Table1[[#This Row],[Quantity]]*Table1[[#This Row],[UnitPrice]]*(1-Table1[[#This Row],[Discount]])</f>
        <v>666.78300000000002</v>
      </c>
    </row>
    <row r="12" spans="1:14" x14ac:dyDescent="0.35">
      <c r="A12" s="8">
        <v>1143</v>
      </c>
      <c r="B12" s="2">
        <v>45677</v>
      </c>
      <c r="C12" t="s">
        <v>27</v>
      </c>
      <c r="D12" t="s">
        <v>47</v>
      </c>
      <c r="E12" t="s">
        <v>48</v>
      </c>
      <c r="F12" t="s">
        <v>24</v>
      </c>
      <c r="G12" t="s">
        <v>38</v>
      </c>
      <c r="H12" s="8">
        <v>6</v>
      </c>
      <c r="I12" s="8">
        <v>596.54</v>
      </c>
      <c r="J12" s="8">
        <v>0.15</v>
      </c>
      <c r="K12" s="3">
        <v>3042.35</v>
      </c>
      <c r="L12" t="s">
        <v>39</v>
      </c>
      <c r="M12" t="s">
        <v>26</v>
      </c>
      <c r="N12" s="3">
        <f>Table1[[#This Row],[Quantity]]*Table1[[#This Row],[UnitPrice]]*(1-Table1[[#This Row],[Discount]])</f>
        <v>3042.3539999999998</v>
      </c>
    </row>
    <row r="13" spans="1:14" x14ac:dyDescent="0.35">
      <c r="A13" s="8">
        <v>1270</v>
      </c>
      <c r="B13" s="2">
        <v>45679</v>
      </c>
      <c r="C13" t="s">
        <v>27</v>
      </c>
      <c r="D13" t="s">
        <v>31</v>
      </c>
      <c r="E13" t="s">
        <v>49</v>
      </c>
      <c r="F13" t="s">
        <v>17</v>
      </c>
      <c r="G13" t="s">
        <v>30</v>
      </c>
      <c r="H13" s="8">
        <v>1</v>
      </c>
      <c r="I13" s="8">
        <v>1107.9100000000001</v>
      </c>
      <c r="J13" s="8">
        <v>0.15</v>
      </c>
      <c r="K13" s="3">
        <v>941.72</v>
      </c>
      <c r="L13" t="s">
        <v>35</v>
      </c>
      <c r="M13" t="s">
        <v>20</v>
      </c>
      <c r="N13" s="3">
        <f>Table1[[#This Row],[Quantity]]*Table1[[#This Row],[UnitPrice]]*(1-Table1[[#This Row],[Discount]])</f>
        <v>941.72350000000006</v>
      </c>
    </row>
    <row r="14" spans="1:14" x14ac:dyDescent="0.35">
      <c r="A14" s="8">
        <v>1160</v>
      </c>
      <c r="B14" s="2">
        <v>45680</v>
      </c>
      <c r="C14" t="s">
        <v>14</v>
      </c>
      <c r="D14" t="s">
        <v>22</v>
      </c>
      <c r="E14" t="s">
        <v>50</v>
      </c>
      <c r="F14" t="s">
        <v>33</v>
      </c>
      <c r="G14" t="s">
        <v>34</v>
      </c>
      <c r="H14" s="8">
        <v>4</v>
      </c>
      <c r="I14" s="8">
        <v>986.26</v>
      </c>
      <c r="J14" s="8">
        <v>0</v>
      </c>
      <c r="K14" s="3">
        <v>3945.04</v>
      </c>
      <c r="L14" t="s">
        <v>39</v>
      </c>
      <c r="M14" t="s">
        <v>26</v>
      </c>
      <c r="N14" s="3">
        <f>Table1[[#This Row],[Quantity]]*Table1[[#This Row],[UnitPrice]]*(1-Table1[[#This Row],[Discount]])</f>
        <v>3945.04</v>
      </c>
    </row>
    <row r="15" spans="1:14" x14ac:dyDescent="0.35">
      <c r="A15" s="8">
        <v>1051</v>
      </c>
      <c r="B15" s="2">
        <v>45683</v>
      </c>
      <c r="C15" t="s">
        <v>21</v>
      </c>
      <c r="D15" t="s">
        <v>31</v>
      </c>
      <c r="E15" t="s">
        <v>51</v>
      </c>
      <c r="F15" t="s">
        <v>17</v>
      </c>
      <c r="G15" t="s">
        <v>30</v>
      </c>
      <c r="H15" s="8">
        <v>5</v>
      </c>
      <c r="I15" s="8">
        <v>30.22</v>
      </c>
      <c r="J15" s="8">
        <v>0.1</v>
      </c>
      <c r="K15" s="3">
        <v>135.99</v>
      </c>
      <c r="L15" t="s">
        <v>35</v>
      </c>
      <c r="M15" t="s">
        <v>26</v>
      </c>
      <c r="N15" s="3">
        <f>Table1[[#This Row],[Quantity]]*Table1[[#This Row],[UnitPrice]]*(1-Table1[[#This Row],[Discount]])</f>
        <v>135.99</v>
      </c>
    </row>
    <row r="16" spans="1:14" x14ac:dyDescent="0.35">
      <c r="A16" s="8">
        <v>1221</v>
      </c>
      <c r="B16" s="2">
        <v>45684</v>
      </c>
      <c r="C16" t="s">
        <v>21</v>
      </c>
      <c r="D16" t="s">
        <v>22</v>
      </c>
      <c r="E16" t="s">
        <v>52</v>
      </c>
      <c r="F16" t="s">
        <v>33</v>
      </c>
      <c r="G16" t="s">
        <v>53</v>
      </c>
      <c r="H16" s="8">
        <v>9</v>
      </c>
      <c r="I16" s="8">
        <v>594.99</v>
      </c>
      <c r="J16" s="8">
        <v>0.1</v>
      </c>
      <c r="K16" s="3">
        <v>4819.42</v>
      </c>
      <c r="L16" t="s">
        <v>39</v>
      </c>
      <c r="M16" t="s">
        <v>26</v>
      </c>
      <c r="N16" s="3">
        <f>Table1[[#This Row],[Quantity]]*Table1[[#This Row],[UnitPrice]]*(1-Table1[[#This Row],[Discount]])</f>
        <v>4819.4189999999999</v>
      </c>
    </row>
    <row r="17" spans="1:14" x14ac:dyDescent="0.35">
      <c r="A17" s="8">
        <v>1274</v>
      </c>
      <c r="B17" s="2">
        <v>45688</v>
      </c>
      <c r="C17" t="s">
        <v>43</v>
      </c>
      <c r="D17" t="s">
        <v>54</v>
      </c>
      <c r="E17" t="s">
        <v>55</v>
      </c>
      <c r="F17" t="s">
        <v>17</v>
      </c>
      <c r="G17" t="s">
        <v>46</v>
      </c>
      <c r="H17" s="8">
        <v>2</v>
      </c>
      <c r="I17" s="8">
        <v>136.44999999999999</v>
      </c>
      <c r="J17" s="8">
        <v>0.05</v>
      </c>
      <c r="K17" s="3">
        <v>259.25</v>
      </c>
      <c r="L17" t="s">
        <v>19</v>
      </c>
      <c r="M17" t="s">
        <v>20</v>
      </c>
      <c r="N17" s="3">
        <f>Table1[[#This Row],[Quantity]]*Table1[[#This Row],[UnitPrice]]*(1-Table1[[#This Row],[Discount]])</f>
        <v>259.25499999999994</v>
      </c>
    </row>
    <row r="18" spans="1:14" x14ac:dyDescent="0.35">
      <c r="A18" s="8">
        <v>1115</v>
      </c>
      <c r="B18" s="2">
        <v>45689</v>
      </c>
      <c r="C18" t="s">
        <v>43</v>
      </c>
      <c r="D18" t="s">
        <v>15</v>
      </c>
      <c r="E18" t="s">
        <v>56</v>
      </c>
      <c r="F18" t="s">
        <v>17</v>
      </c>
      <c r="G18" t="s">
        <v>46</v>
      </c>
      <c r="H18" s="8">
        <v>4</v>
      </c>
      <c r="I18" s="8">
        <v>871.29</v>
      </c>
      <c r="J18" s="8">
        <v>0</v>
      </c>
      <c r="K18" s="3">
        <v>3485.16</v>
      </c>
      <c r="L18" t="s">
        <v>35</v>
      </c>
      <c r="M18" t="s">
        <v>20</v>
      </c>
      <c r="N18" s="3">
        <f>Table1[[#This Row],[Quantity]]*Table1[[#This Row],[UnitPrice]]*(1-Table1[[#This Row],[Discount]])</f>
        <v>3485.16</v>
      </c>
    </row>
    <row r="19" spans="1:14" x14ac:dyDescent="0.35">
      <c r="A19" s="8">
        <v>1220</v>
      </c>
      <c r="B19" s="2">
        <v>45691</v>
      </c>
      <c r="C19" t="s">
        <v>14</v>
      </c>
      <c r="D19" t="s">
        <v>54</v>
      </c>
      <c r="E19" t="s">
        <v>57</v>
      </c>
      <c r="F19" t="s">
        <v>17</v>
      </c>
      <c r="G19" t="s">
        <v>46</v>
      </c>
      <c r="H19" s="8">
        <v>3</v>
      </c>
      <c r="I19" s="8">
        <v>551.41</v>
      </c>
      <c r="J19" s="8">
        <v>0.1</v>
      </c>
      <c r="K19" s="3">
        <v>1488.81</v>
      </c>
      <c r="L19" t="s">
        <v>19</v>
      </c>
      <c r="M19" t="s">
        <v>36</v>
      </c>
      <c r="N19" s="3">
        <f>Table1[[#This Row],[Quantity]]*Table1[[#This Row],[UnitPrice]]*(1-Table1[[#This Row],[Discount]])</f>
        <v>1488.807</v>
      </c>
    </row>
    <row r="20" spans="1:14" x14ac:dyDescent="0.35">
      <c r="A20" s="8">
        <v>1059</v>
      </c>
      <c r="B20" s="2">
        <v>45694</v>
      </c>
      <c r="C20" t="s">
        <v>14</v>
      </c>
      <c r="D20" t="s">
        <v>15</v>
      </c>
      <c r="E20" t="s">
        <v>58</v>
      </c>
      <c r="F20" t="s">
        <v>17</v>
      </c>
      <c r="G20" t="s">
        <v>18</v>
      </c>
      <c r="H20" s="8">
        <v>10</v>
      </c>
      <c r="I20" s="8">
        <v>951.95</v>
      </c>
      <c r="J20" s="8">
        <v>0</v>
      </c>
      <c r="K20" s="3">
        <v>9519.5</v>
      </c>
      <c r="L20" t="s">
        <v>19</v>
      </c>
      <c r="M20" t="s">
        <v>20</v>
      </c>
      <c r="N20" s="3">
        <f>Table1[[#This Row],[Quantity]]*Table1[[#This Row],[UnitPrice]]*(1-Table1[[#This Row],[Discount]])</f>
        <v>9519.5</v>
      </c>
    </row>
    <row r="21" spans="1:14" x14ac:dyDescent="0.35">
      <c r="A21" s="8">
        <v>1018</v>
      </c>
      <c r="B21" s="2">
        <v>45698</v>
      </c>
      <c r="C21" t="s">
        <v>14</v>
      </c>
      <c r="D21" t="s">
        <v>22</v>
      </c>
      <c r="E21" t="s">
        <v>59</v>
      </c>
      <c r="F21" t="s">
        <v>33</v>
      </c>
      <c r="G21" t="s">
        <v>53</v>
      </c>
      <c r="H21" s="8">
        <v>8</v>
      </c>
      <c r="I21" s="8">
        <v>823.28</v>
      </c>
      <c r="J21" s="8">
        <v>0.1</v>
      </c>
      <c r="K21" s="3">
        <v>5927.62</v>
      </c>
      <c r="L21" t="s">
        <v>35</v>
      </c>
      <c r="M21" t="s">
        <v>36</v>
      </c>
      <c r="N21" s="3">
        <f>Table1[[#This Row],[Quantity]]*Table1[[#This Row],[UnitPrice]]*(1-Table1[[#This Row],[Discount]])</f>
        <v>5927.616</v>
      </c>
    </row>
    <row r="22" spans="1:14" x14ac:dyDescent="0.35">
      <c r="A22" s="8">
        <v>1177</v>
      </c>
      <c r="B22" s="2">
        <v>45701</v>
      </c>
      <c r="C22" t="s">
        <v>43</v>
      </c>
      <c r="D22" t="s">
        <v>31</v>
      </c>
      <c r="E22" t="s">
        <v>59</v>
      </c>
      <c r="F22" t="s">
        <v>33</v>
      </c>
      <c r="G22" t="s">
        <v>53</v>
      </c>
      <c r="H22" s="8">
        <v>15</v>
      </c>
      <c r="I22" s="8">
        <v>486.05</v>
      </c>
      <c r="J22" s="8">
        <v>0.05</v>
      </c>
      <c r="K22" s="3">
        <v>6926.21</v>
      </c>
      <c r="L22" t="s">
        <v>39</v>
      </c>
      <c r="M22" t="s">
        <v>36</v>
      </c>
      <c r="N22" s="3">
        <f>Table1[[#This Row],[Quantity]]*Table1[[#This Row],[UnitPrice]]*(1-Table1[[#This Row],[Discount]])</f>
        <v>6926.2124999999996</v>
      </c>
    </row>
    <row r="23" spans="1:14" x14ac:dyDescent="0.35">
      <c r="A23" s="8">
        <v>1061</v>
      </c>
      <c r="B23" s="2">
        <v>45703</v>
      </c>
      <c r="C23" t="s">
        <v>14</v>
      </c>
      <c r="D23" t="s">
        <v>15</v>
      </c>
      <c r="E23" t="s">
        <v>60</v>
      </c>
      <c r="F23" t="s">
        <v>33</v>
      </c>
      <c r="G23" t="s">
        <v>61</v>
      </c>
      <c r="H23" s="8">
        <v>5</v>
      </c>
      <c r="I23" s="8">
        <v>769.03</v>
      </c>
      <c r="J23" s="8">
        <v>0.1</v>
      </c>
      <c r="K23" s="3">
        <v>3460.63</v>
      </c>
      <c r="L23" t="s">
        <v>35</v>
      </c>
      <c r="M23" t="s">
        <v>20</v>
      </c>
      <c r="N23" s="3">
        <f>Table1[[#This Row],[Quantity]]*Table1[[#This Row],[UnitPrice]]*(1-Table1[[#This Row],[Discount]])</f>
        <v>3460.6349999999998</v>
      </c>
    </row>
    <row r="24" spans="1:14" x14ac:dyDescent="0.35">
      <c r="A24" s="8">
        <v>1170</v>
      </c>
      <c r="B24" s="2">
        <v>45703</v>
      </c>
      <c r="C24" t="s">
        <v>21</v>
      </c>
      <c r="D24" t="s">
        <v>54</v>
      </c>
      <c r="E24" t="s">
        <v>62</v>
      </c>
      <c r="F24" t="s">
        <v>24</v>
      </c>
      <c r="G24" t="s">
        <v>63</v>
      </c>
      <c r="H24" s="8">
        <v>3</v>
      </c>
      <c r="I24" s="8">
        <v>767.25</v>
      </c>
      <c r="J24" s="8">
        <v>0.15</v>
      </c>
      <c r="K24" s="3">
        <v>1956.49</v>
      </c>
      <c r="L24" t="s">
        <v>39</v>
      </c>
      <c r="M24" t="s">
        <v>20</v>
      </c>
      <c r="N24" s="3">
        <f>Table1[[#This Row],[Quantity]]*Table1[[#This Row],[UnitPrice]]*(1-Table1[[#This Row],[Discount]])</f>
        <v>1956.4875</v>
      </c>
    </row>
    <row r="25" spans="1:14" x14ac:dyDescent="0.35">
      <c r="A25" s="8">
        <v>1299</v>
      </c>
      <c r="B25" s="2">
        <v>45707</v>
      </c>
      <c r="C25" t="s">
        <v>27</v>
      </c>
      <c r="D25" t="s">
        <v>54</v>
      </c>
      <c r="E25" t="s">
        <v>60</v>
      </c>
      <c r="F25" t="s">
        <v>17</v>
      </c>
      <c r="G25" t="s">
        <v>46</v>
      </c>
      <c r="H25" s="8">
        <v>1</v>
      </c>
      <c r="I25" s="8">
        <v>127.11</v>
      </c>
      <c r="J25" s="8">
        <v>0.1</v>
      </c>
      <c r="K25" s="3">
        <v>114.4</v>
      </c>
      <c r="L25" t="s">
        <v>19</v>
      </c>
      <c r="M25" t="s">
        <v>26</v>
      </c>
      <c r="N25" s="3">
        <f>Table1[[#This Row],[Quantity]]*Table1[[#This Row],[UnitPrice]]*(1-Table1[[#This Row],[Discount]])</f>
        <v>114.399</v>
      </c>
    </row>
    <row r="26" spans="1:14" x14ac:dyDescent="0.35">
      <c r="A26" s="8">
        <v>1060</v>
      </c>
      <c r="B26" s="2">
        <v>45711</v>
      </c>
      <c r="C26" t="s">
        <v>21</v>
      </c>
      <c r="D26" t="s">
        <v>31</v>
      </c>
      <c r="E26" t="s">
        <v>64</v>
      </c>
      <c r="F26" t="s">
        <v>33</v>
      </c>
      <c r="G26" t="s">
        <v>34</v>
      </c>
      <c r="H26" s="8">
        <v>14</v>
      </c>
      <c r="I26" s="8">
        <v>763.63</v>
      </c>
      <c r="J26" s="8">
        <v>0</v>
      </c>
      <c r="K26" s="3">
        <v>10690.82</v>
      </c>
      <c r="L26" t="s">
        <v>35</v>
      </c>
      <c r="M26" t="s">
        <v>20</v>
      </c>
      <c r="N26" s="3">
        <f>Table1[[#This Row],[Quantity]]*Table1[[#This Row],[UnitPrice]]*(1-Table1[[#This Row],[Discount]])</f>
        <v>10690.82</v>
      </c>
    </row>
    <row r="27" spans="1:14" x14ac:dyDescent="0.35">
      <c r="A27" s="8">
        <v>1164</v>
      </c>
      <c r="B27" s="2">
        <v>45711</v>
      </c>
      <c r="C27" t="s">
        <v>21</v>
      </c>
      <c r="D27" t="s">
        <v>28</v>
      </c>
      <c r="E27" t="s">
        <v>65</v>
      </c>
      <c r="F27" t="s">
        <v>33</v>
      </c>
      <c r="G27" t="s">
        <v>34</v>
      </c>
      <c r="H27" s="8">
        <v>9</v>
      </c>
      <c r="I27" s="8">
        <v>724.93</v>
      </c>
      <c r="J27" s="8">
        <v>0.1</v>
      </c>
      <c r="K27" s="3">
        <v>5871.93</v>
      </c>
      <c r="L27" t="s">
        <v>19</v>
      </c>
      <c r="M27" t="s">
        <v>20</v>
      </c>
      <c r="N27" s="3">
        <f>Table1[[#This Row],[Quantity]]*Table1[[#This Row],[UnitPrice]]*(1-Table1[[#This Row],[Discount]])</f>
        <v>5871.933</v>
      </c>
    </row>
    <row r="28" spans="1:14" x14ac:dyDescent="0.35">
      <c r="A28" s="8">
        <v>1286</v>
      </c>
      <c r="B28" s="2">
        <v>45711</v>
      </c>
      <c r="C28" t="s">
        <v>14</v>
      </c>
      <c r="D28" t="s">
        <v>54</v>
      </c>
      <c r="E28" t="s">
        <v>66</v>
      </c>
      <c r="F28" t="s">
        <v>17</v>
      </c>
      <c r="G28" t="s">
        <v>18</v>
      </c>
      <c r="H28" s="8">
        <v>7</v>
      </c>
      <c r="I28" s="8">
        <v>770.1</v>
      </c>
      <c r="J28" s="8">
        <v>0.15</v>
      </c>
      <c r="K28" s="3">
        <v>4582.09</v>
      </c>
      <c r="L28" t="s">
        <v>35</v>
      </c>
      <c r="M28" t="s">
        <v>26</v>
      </c>
      <c r="N28" s="3">
        <f>Table1[[#This Row],[Quantity]]*Table1[[#This Row],[UnitPrice]]*(1-Table1[[#This Row],[Discount]])</f>
        <v>4582.0949999999993</v>
      </c>
    </row>
    <row r="29" spans="1:14" x14ac:dyDescent="0.35">
      <c r="A29" s="8">
        <v>1017</v>
      </c>
      <c r="B29" s="2">
        <v>45712</v>
      </c>
      <c r="C29" t="s">
        <v>43</v>
      </c>
      <c r="D29" t="s">
        <v>54</v>
      </c>
      <c r="E29" t="s">
        <v>67</v>
      </c>
      <c r="F29" t="s">
        <v>33</v>
      </c>
      <c r="G29" t="s">
        <v>34</v>
      </c>
      <c r="H29" s="8">
        <v>4</v>
      </c>
      <c r="I29" s="8">
        <v>432.55</v>
      </c>
      <c r="J29" s="8">
        <v>0</v>
      </c>
      <c r="K29" s="3">
        <v>1730.2</v>
      </c>
      <c r="L29" t="s">
        <v>19</v>
      </c>
      <c r="M29" t="s">
        <v>36</v>
      </c>
      <c r="N29" s="3">
        <f>Table1[[#This Row],[Quantity]]*Table1[[#This Row],[UnitPrice]]*(1-Table1[[#This Row],[Discount]])</f>
        <v>1730.2</v>
      </c>
    </row>
    <row r="30" spans="1:14" x14ac:dyDescent="0.35">
      <c r="A30" s="8">
        <v>1113</v>
      </c>
      <c r="B30" s="2">
        <v>45713</v>
      </c>
      <c r="C30" t="s">
        <v>43</v>
      </c>
      <c r="D30" t="s">
        <v>47</v>
      </c>
      <c r="E30" t="s">
        <v>57</v>
      </c>
      <c r="F30" t="s">
        <v>17</v>
      </c>
      <c r="G30" t="s">
        <v>18</v>
      </c>
      <c r="H30" s="8">
        <v>15</v>
      </c>
      <c r="I30" s="8">
        <v>213.05</v>
      </c>
      <c r="J30" s="8">
        <v>0.1</v>
      </c>
      <c r="K30" s="3">
        <v>2876.18</v>
      </c>
      <c r="L30" t="s">
        <v>39</v>
      </c>
      <c r="M30" t="s">
        <v>36</v>
      </c>
      <c r="N30" s="3">
        <f>Table1[[#This Row],[Quantity]]*Table1[[#This Row],[UnitPrice]]*(1-Table1[[#This Row],[Discount]])</f>
        <v>2876.1750000000002</v>
      </c>
    </row>
    <row r="31" spans="1:14" x14ac:dyDescent="0.35">
      <c r="A31" s="8">
        <v>1154</v>
      </c>
      <c r="B31" s="2">
        <v>45714</v>
      </c>
      <c r="C31" t="s">
        <v>14</v>
      </c>
      <c r="D31" t="s">
        <v>28</v>
      </c>
      <c r="E31" t="s">
        <v>68</v>
      </c>
      <c r="F31" t="s">
        <v>33</v>
      </c>
      <c r="G31" t="s">
        <v>53</v>
      </c>
      <c r="H31" s="8">
        <v>6</v>
      </c>
      <c r="I31" s="8">
        <v>723.46</v>
      </c>
      <c r="J31" s="8">
        <v>0.1</v>
      </c>
      <c r="K31" s="3">
        <v>3906.68</v>
      </c>
      <c r="L31" t="s">
        <v>35</v>
      </c>
      <c r="M31" t="s">
        <v>26</v>
      </c>
      <c r="N31" s="3">
        <f>Table1[[#This Row],[Quantity]]*Table1[[#This Row],[UnitPrice]]*(1-Table1[[#This Row],[Discount]])</f>
        <v>3906.6840000000002</v>
      </c>
    </row>
    <row r="32" spans="1:14" x14ac:dyDescent="0.35">
      <c r="A32" s="8">
        <v>1272</v>
      </c>
      <c r="B32" s="2">
        <v>45715</v>
      </c>
      <c r="C32" t="s">
        <v>14</v>
      </c>
      <c r="D32" t="s">
        <v>28</v>
      </c>
      <c r="E32" t="s">
        <v>69</v>
      </c>
      <c r="F32" t="s">
        <v>17</v>
      </c>
      <c r="G32" t="s">
        <v>18</v>
      </c>
      <c r="H32" s="8">
        <v>2</v>
      </c>
      <c r="I32" s="8">
        <v>711.63</v>
      </c>
      <c r="J32" s="8">
        <v>0.1</v>
      </c>
      <c r="K32" s="3">
        <v>1280.93</v>
      </c>
      <c r="L32" t="s">
        <v>35</v>
      </c>
      <c r="M32" t="s">
        <v>36</v>
      </c>
      <c r="N32" s="3">
        <f>Table1[[#This Row],[Quantity]]*Table1[[#This Row],[UnitPrice]]*(1-Table1[[#This Row],[Discount]])</f>
        <v>1280.934</v>
      </c>
    </row>
    <row r="33" spans="1:14" x14ac:dyDescent="0.35">
      <c r="A33" s="8">
        <v>1116</v>
      </c>
      <c r="B33" s="2">
        <v>45718</v>
      </c>
      <c r="C33" t="s">
        <v>27</v>
      </c>
      <c r="D33" t="s">
        <v>47</v>
      </c>
      <c r="E33" t="s">
        <v>70</v>
      </c>
      <c r="F33" t="s">
        <v>33</v>
      </c>
      <c r="G33" t="s">
        <v>53</v>
      </c>
      <c r="H33" s="8">
        <v>12</v>
      </c>
      <c r="I33" s="8">
        <v>483.26</v>
      </c>
      <c r="J33" s="8">
        <v>0.15</v>
      </c>
      <c r="K33" s="3">
        <v>4929.25</v>
      </c>
      <c r="L33" t="s">
        <v>39</v>
      </c>
      <c r="M33" t="s">
        <v>36</v>
      </c>
      <c r="N33" s="3">
        <f>Table1[[#This Row],[Quantity]]*Table1[[#This Row],[UnitPrice]]*(1-Table1[[#This Row],[Discount]])</f>
        <v>4929.2519999999995</v>
      </c>
    </row>
    <row r="34" spans="1:14" x14ac:dyDescent="0.35">
      <c r="A34" s="8">
        <v>1024</v>
      </c>
      <c r="B34" s="2">
        <v>45720</v>
      </c>
      <c r="C34" t="s">
        <v>27</v>
      </c>
      <c r="D34" t="s">
        <v>31</v>
      </c>
      <c r="E34" t="s">
        <v>71</v>
      </c>
      <c r="F34" t="s">
        <v>33</v>
      </c>
      <c r="G34" t="s">
        <v>53</v>
      </c>
      <c r="H34" s="8">
        <v>15</v>
      </c>
      <c r="I34" s="8">
        <v>310.61</v>
      </c>
      <c r="J34" s="8">
        <v>0</v>
      </c>
      <c r="K34" s="3">
        <v>4659.1499999999996</v>
      </c>
      <c r="L34" t="s">
        <v>39</v>
      </c>
      <c r="M34" t="s">
        <v>36</v>
      </c>
      <c r="N34" s="3">
        <f>Table1[[#This Row],[Quantity]]*Table1[[#This Row],[UnitPrice]]*(1-Table1[[#This Row],[Discount]])</f>
        <v>4659.1500000000005</v>
      </c>
    </row>
    <row r="35" spans="1:14" x14ac:dyDescent="0.35">
      <c r="A35" s="8">
        <v>1300</v>
      </c>
      <c r="B35" s="2">
        <v>45720</v>
      </c>
      <c r="C35" t="s">
        <v>21</v>
      </c>
      <c r="D35" t="s">
        <v>54</v>
      </c>
      <c r="E35" t="s">
        <v>72</v>
      </c>
      <c r="F35" t="s">
        <v>24</v>
      </c>
      <c r="G35" t="s">
        <v>25</v>
      </c>
      <c r="H35" s="8">
        <v>8</v>
      </c>
      <c r="I35" s="8">
        <v>435.43</v>
      </c>
      <c r="J35" s="8">
        <v>0.15</v>
      </c>
      <c r="K35" s="3">
        <v>2960.92</v>
      </c>
      <c r="L35" t="s">
        <v>19</v>
      </c>
      <c r="M35" t="s">
        <v>36</v>
      </c>
      <c r="N35" s="3">
        <f>Table1[[#This Row],[Quantity]]*Table1[[#This Row],[UnitPrice]]*(1-Table1[[#This Row],[Discount]])</f>
        <v>2960.924</v>
      </c>
    </row>
    <row r="36" spans="1:14" x14ac:dyDescent="0.35">
      <c r="A36" s="8">
        <v>1292</v>
      </c>
      <c r="B36" s="2">
        <v>45722</v>
      </c>
      <c r="C36" t="s">
        <v>43</v>
      </c>
      <c r="D36" t="s">
        <v>54</v>
      </c>
      <c r="E36" t="s">
        <v>73</v>
      </c>
      <c r="F36" t="s">
        <v>33</v>
      </c>
      <c r="G36" t="s">
        <v>61</v>
      </c>
      <c r="H36" s="8">
        <v>13</v>
      </c>
      <c r="I36" s="8">
        <v>1047.26</v>
      </c>
      <c r="J36" s="8">
        <v>0.05</v>
      </c>
      <c r="K36" s="3">
        <v>12933.66</v>
      </c>
      <c r="L36" t="s">
        <v>39</v>
      </c>
      <c r="M36" t="s">
        <v>36</v>
      </c>
      <c r="N36" s="3">
        <f>Table1[[#This Row],[Quantity]]*Table1[[#This Row],[UnitPrice]]*(1-Table1[[#This Row],[Discount]])</f>
        <v>12933.660999999998</v>
      </c>
    </row>
    <row r="37" spans="1:14" x14ac:dyDescent="0.35">
      <c r="A37" s="8">
        <v>1020</v>
      </c>
      <c r="B37" s="2">
        <v>45723</v>
      </c>
      <c r="C37" t="s">
        <v>43</v>
      </c>
      <c r="D37" t="s">
        <v>22</v>
      </c>
      <c r="E37" t="s">
        <v>60</v>
      </c>
      <c r="F37" t="s">
        <v>33</v>
      </c>
      <c r="G37" t="s">
        <v>53</v>
      </c>
      <c r="H37" s="8">
        <v>3</v>
      </c>
      <c r="I37" s="8">
        <v>128.86000000000001</v>
      </c>
      <c r="J37" s="8">
        <v>0.1</v>
      </c>
      <c r="K37" s="3">
        <v>347.92</v>
      </c>
      <c r="L37" t="s">
        <v>19</v>
      </c>
      <c r="M37" t="s">
        <v>26</v>
      </c>
      <c r="N37" s="3">
        <f>Table1[[#This Row],[Quantity]]*Table1[[#This Row],[UnitPrice]]*(1-Table1[[#This Row],[Discount]])</f>
        <v>347.92200000000003</v>
      </c>
    </row>
    <row r="38" spans="1:14" x14ac:dyDescent="0.35">
      <c r="A38" s="8">
        <v>1188</v>
      </c>
      <c r="B38" s="2">
        <v>45729</v>
      </c>
      <c r="C38" t="s">
        <v>27</v>
      </c>
      <c r="D38" t="s">
        <v>47</v>
      </c>
      <c r="E38" t="s">
        <v>37</v>
      </c>
      <c r="F38" t="s">
        <v>17</v>
      </c>
      <c r="G38" t="s">
        <v>18</v>
      </c>
      <c r="H38" s="8">
        <v>7</v>
      </c>
      <c r="I38" s="8">
        <v>737.42</v>
      </c>
      <c r="J38" s="8">
        <v>0.1</v>
      </c>
      <c r="K38" s="3">
        <v>4645.75</v>
      </c>
      <c r="L38" t="s">
        <v>19</v>
      </c>
      <c r="M38" t="s">
        <v>36</v>
      </c>
      <c r="N38" s="3">
        <f>Table1[[#This Row],[Quantity]]*Table1[[#This Row],[UnitPrice]]*(1-Table1[[#This Row],[Discount]])</f>
        <v>4645.7460000000001</v>
      </c>
    </row>
    <row r="39" spans="1:14" x14ac:dyDescent="0.35">
      <c r="A39" s="8">
        <v>1139</v>
      </c>
      <c r="B39" s="2">
        <v>45731</v>
      </c>
      <c r="C39" t="s">
        <v>14</v>
      </c>
      <c r="D39" t="s">
        <v>31</v>
      </c>
      <c r="E39" t="s">
        <v>74</v>
      </c>
      <c r="F39" t="s">
        <v>24</v>
      </c>
      <c r="G39" t="s">
        <v>38</v>
      </c>
      <c r="H39" s="8">
        <v>13</v>
      </c>
      <c r="I39" s="8">
        <v>96.33</v>
      </c>
      <c r="J39" s="8">
        <v>0.15</v>
      </c>
      <c r="K39" s="3">
        <v>1064.45</v>
      </c>
      <c r="L39" t="s">
        <v>35</v>
      </c>
      <c r="M39" t="s">
        <v>26</v>
      </c>
      <c r="N39" s="3">
        <f>Table1[[#This Row],[Quantity]]*Table1[[#This Row],[UnitPrice]]*(1-Table1[[#This Row],[Discount]])</f>
        <v>1064.4465</v>
      </c>
    </row>
    <row r="40" spans="1:14" x14ac:dyDescent="0.35">
      <c r="A40" s="8">
        <v>1243</v>
      </c>
      <c r="B40" s="2">
        <v>45731</v>
      </c>
      <c r="C40" t="s">
        <v>43</v>
      </c>
      <c r="D40" t="s">
        <v>15</v>
      </c>
      <c r="E40" t="s">
        <v>75</v>
      </c>
      <c r="F40" t="s">
        <v>17</v>
      </c>
      <c r="G40" t="s">
        <v>18</v>
      </c>
      <c r="H40" s="8">
        <v>11</v>
      </c>
      <c r="I40" s="8">
        <v>462.44</v>
      </c>
      <c r="J40" s="8">
        <v>0</v>
      </c>
      <c r="K40" s="3">
        <v>5086.84</v>
      </c>
      <c r="L40" t="s">
        <v>39</v>
      </c>
      <c r="M40" t="s">
        <v>36</v>
      </c>
      <c r="N40" s="3">
        <f>Table1[[#This Row],[Quantity]]*Table1[[#This Row],[UnitPrice]]*(1-Table1[[#This Row],[Discount]])</f>
        <v>5086.84</v>
      </c>
    </row>
    <row r="41" spans="1:14" x14ac:dyDescent="0.35">
      <c r="A41" s="8">
        <v>1095</v>
      </c>
      <c r="B41" s="2">
        <v>45738</v>
      </c>
      <c r="C41" t="s">
        <v>27</v>
      </c>
      <c r="D41" t="s">
        <v>15</v>
      </c>
      <c r="E41" t="s">
        <v>76</v>
      </c>
      <c r="F41" t="s">
        <v>17</v>
      </c>
      <c r="G41" t="s">
        <v>18</v>
      </c>
      <c r="H41" s="8">
        <v>10</v>
      </c>
      <c r="I41" s="8">
        <v>997.84</v>
      </c>
      <c r="J41" s="8">
        <v>0</v>
      </c>
      <c r="K41" s="3">
        <v>9978.4</v>
      </c>
      <c r="L41" t="s">
        <v>35</v>
      </c>
      <c r="M41" t="s">
        <v>20</v>
      </c>
      <c r="N41" s="3">
        <f>Table1[[#This Row],[Quantity]]*Table1[[#This Row],[UnitPrice]]*(1-Table1[[#This Row],[Discount]])</f>
        <v>9978.4</v>
      </c>
    </row>
    <row r="42" spans="1:14" x14ac:dyDescent="0.35">
      <c r="A42" s="8">
        <v>1046</v>
      </c>
      <c r="B42" s="2">
        <v>45739</v>
      </c>
      <c r="C42" t="s">
        <v>14</v>
      </c>
      <c r="D42" t="s">
        <v>54</v>
      </c>
      <c r="E42" t="s">
        <v>77</v>
      </c>
      <c r="F42" t="s">
        <v>17</v>
      </c>
      <c r="G42" t="s">
        <v>46</v>
      </c>
      <c r="H42" s="8">
        <v>15</v>
      </c>
      <c r="I42" s="8">
        <v>24.1</v>
      </c>
      <c r="J42" s="8">
        <v>0.15</v>
      </c>
      <c r="K42" s="3">
        <v>307.27</v>
      </c>
      <c r="L42" t="s">
        <v>19</v>
      </c>
      <c r="M42" t="s">
        <v>20</v>
      </c>
      <c r="N42" s="3">
        <f>Table1[[#This Row],[Quantity]]*Table1[[#This Row],[UnitPrice]]*(1-Table1[[#This Row],[Discount]])</f>
        <v>307.27499999999998</v>
      </c>
    </row>
    <row r="43" spans="1:14" x14ac:dyDescent="0.35">
      <c r="A43" s="8">
        <v>1100</v>
      </c>
      <c r="B43" s="2">
        <v>45739</v>
      </c>
      <c r="C43" t="s">
        <v>43</v>
      </c>
      <c r="D43" t="s">
        <v>15</v>
      </c>
      <c r="E43" t="s">
        <v>78</v>
      </c>
      <c r="F43" t="s">
        <v>17</v>
      </c>
      <c r="G43" t="s">
        <v>30</v>
      </c>
      <c r="H43" s="8">
        <v>12</v>
      </c>
      <c r="I43" s="8">
        <v>275.45</v>
      </c>
      <c r="J43" s="8">
        <v>0</v>
      </c>
      <c r="K43" s="3">
        <v>3305.4</v>
      </c>
      <c r="L43" t="s">
        <v>35</v>
      </c>
      <c r="M43" t="s">
        <v>26</v>
      </c>
      <c r="N43" s="3">
        <f>Table1[[#This Row],[Quantity]]*Table1[[#This Row],[UnitPrice]]*(1-Table1[[#This Row],[Discount]])</f>
        <v>3305.3999999999996</v>
      </c>
    </row>
    <row r="44" spans="1:14" x14ac:dyDescent="0.35">
      <c r="A44" s="8">
        <v>1131</v>
      </c>
      <c r="B44" s="2">
        <v>45739</v>
      </c>
      <c r="C44" t="s">
        <v>27</v>
      </c>
      <c r="D44" t="s">
        <v>22</v>
      </c>
      <c r="E44" t="s">
        <v>29</v>
      </c>
      <c r="F44" t="s">
        <v>24</v>
      </c>
      <c r="G44" t="s">
        <v>38</v>
      </c>
      <c r="H44" s="8">
        <v>3</v>
      </c>
      <c r="I44" s="8">
        <v>976.39</v>
      </c>
      <c r="J44" s="8">
        <v>0.05</v>
      </c>
      <c r="K44" s="3">
        <v>2782.71</v>
      </c>
      <c r="L44" t="s">
        <v>35</v>
      </c>
      <c r="M44" t="s">
        <v>36</v>
      </c>
      <c r="N44" s="3">
        <f>Table1[[#This Row],[Quantity]]*Table1[[#This Row],[UnitPrice]]*(1-Table1[[#This Row],[Discount]])</f>
        <v>2782.7114999999999</v>
      </c>
    </row>
    <row r="45" spans="1:14" x14ac:dyDescent="0.35">
      <c r="A45" s="8">
        <v>1050</v>
      </c>
      <c r="B45" s="2">
        <v>45742</v>
      </c>
      <c r="C45" t="s">
        <v>14</v>
      </c>
      <c r="D45" t="s">
        <v>28</v>
      </c>
      <c r="E45" t="s">
        <v>79</v>
      </c>
      <c r="F45" t="s">
        <v>24</v>
      </c>
      <c r="G45" t="s">
        <v>38</v>
      </c>
      <c r="H45" s="8">
        <v>15</v>
      </c>
      <c r="I45" s="8">
        <v>527.89</v>
      </c>
      <c r="J45" s="8">
        <v>0.1</v>
      </c>
      <c r="K45" s="3">
        <v>7126.51</v>
      </c>
      <c r="L45" t="s">
        <v>39</v>
      </c>
      <c r="M45" t="s">
        <v>26</v>
      </c>
      <c r="N45" s="3">
        <f>Table1[[#This Row],[Quantity]]*Table1[[#This Row],[UnitPrice]]*(1-Table1[[#This Row],[Discount]])</f>
        <v>7126.5149999999994</v>
      </c>
    </row>
    <row r="46" spans="1:14" x14ac:dyDescent="0.35">
      <c r="A46" s="8">
        <v>1288</v>
      </c>
      <c r="B46" s="2">
        <v>45742</v>
      </c>
      <c r="C46" t="s">
        <v>21</v>
      </c>
      <c r="D46" t="s">
        <v>31</v>
      </c>
      <c r="E46" t="s">
        <v>80</v>
      </c>
      <c r="F46" t="s">
        <v>17</v>
      </c>
      <c r="G46" t="s">
        <v>18</v>
      </c>
      <c r="H46" s="8">
        <v>14</v>
      </c>
      <c r="I46" s="8">
        <v>40.82</v>
      </c>
      <c r="J46" s="8">
        <v>0.05</v>
      </c>
      <c r="K46" s="3">
        <v>542.91</v>
      </c>
      <c r="L46" t="s">
        <v>39</v>
      </c>
      <c r="M46" t="s">
        <v>36</v>
      </c>
      <c r="N46" s="3">
        <f>Table1[[#This Row],[Quantity]]*Table1[[#This Row],[UnitPrice]]*(1-Table1[[#This Row],[Discount]])</f>
        <v>542.90599999999995</v>
      </c>
    </row>
    <row r="47" spans="1:14" x14ac:dyDescent="0.35">
      <c r="A47" s="8">
        <v>1102</v>
      </c>
      <c r="B47" s="2">
        <v>45745</v>
      </c>
      <c r="C47" t="s">
        <v>43</v>
      </c>
      <c r="D47" t="s">
        <v>28</v>
      </c>
      <c r="E47" t="s">
        <v>49</v>
      </c>
      <c r="F47" t="s">
        <v>33</v>
      </c>
      <c r="G47" t="s">
        <v>34</v>
      </c>
      <c r="H47" s="8">
        <v>5</v>
      </c>
      <c r="I47" s="8">
        <v>129.84</v>
      </c>
      <c r="J47" s="8">
        <v>0.05</v>
      </c>
      <c r="K47" s="3">
        <v>616.74</v>
      </c>
      <c r="L47" t="s">
        <v>39</v>
      </c>
      <c r="M47" t="s">
        <v>26</v>
      </c>
      <c r="N47" s="3">
        <f>Table1[[#This Row],[Quantity]]*Table1[[#This Row],[UnitPrice]]*(1-Table1[[#This Row],[Discount]])</f>
        <v>616.74</v>
      </c>
    </row>
    <row r="48" spans="1:14" x14ac:dyDescent="0.35">
      <c r="A48" s="8">
        <v>1096</v>
      </c>
      <c r="B48" s="2">
        <v>45747</v>
      </c>
      <c r="C48" t="s">
        <v>21</v>
      </c>
      <c r="D48" t="s">
        <v>15</v>
      </c>
      <c r="E48" t="s">
        <v>77</v>
      </c>
      <c r="F48" t="s">
        <v>33</v>
      </c>
      <c r="G48" t="s">
        <v>53</v>
      </c>
      <c r="H48" s="8">
        <v>9</v>
      </c>
      <c r="I48" s="8">
        <v>60.43</v>
      </c>
      <c r="J48" s="8">
        <v>0.15</v>
      </c>
      <c r="K48" s="3">
        <v>462.29</v>
      </c>
      <c r="L48" t="s">
        <v>35</v>
      </c>
      <c r="M48" t="s">
        <v>26</v>
      </c>
      <c r="N48" s="3">
        <f>Table1[[#This Row],[Quantity]]*Table1[[#This Row],[UnitPrice]]*(1-Table1[[#This Row],[Discount]])</f>
        <v>462.28949999999998</v>
      </c>
    </row>
    <row r="49" spans="1:14" x14ac:dyDescent="0.35">
      <c r="A49" s="8">
        <v>1171</v>
      </c>
      <c r="B49" s="2">
        <v>45748</v>
      </c>
      <c r="C49" t="s">
        <v>43</v>
      </c>
      <c r="D49" t="s">
        <v>31</v>
      </c>
      <c r="E49" t="s">
        <v>45</v>
      </c>
      <c r="F49" t="s">
        <v>33</v>
      </c>
      <c r="G49" t="s">
        <v>53</v>
      </c>
      <c r="H49" s="8">
        <v>8</v>
      </c>
      <c r="I49" s="8">
        <v>1022.32</v>
      </c>
      <c r="J49" s="8">
        <v>0</v>
      </c>
      <c r="K49" s="3">
        <v>8178.56</v>
      </c>
      <c r="L49" t="s">
        <v>35</v>
      </c>
      <c r="M49" t="s">
        <v>26</v>
      </c>
      <c r="N49" s="3">
        <f>Table1[[#This Row],[Quantity]]*Table1[[#This Row],[UnitPrice]]*(1-Table1[[#This Row],[Discount]])</f>
        <v>8178.56</v>
      </c>
    </row>
    <row r="50" spans="1:14" x14ac:dyDescent="0.35">
      <c r="A50" s="8">
        <v>1255</v>
      </c>
      <c r="B50" s="2">
        <v>45749</v>
      </c>
      <c r="C50" t="s">
        <v>14</v>
      </c>
      <c r="D50" t="s">
        <v>31</v>
      </c>
      <c r="E50" t="s">
        <v>81</v>
      </c>
      <c r="F50" t="s">
        <v>17</v>
      </c>
      <c r="G50" t="s">
        <v>18</v>
      </c>
      <c r="H50" s="8">
        <v>6</v>
      </c>
      <c r="I50" s="8">
        <v>764.82</v>
      </c>
      <c r="J50" s="8">
        <v>0.05</v>
      </c>
      <c r="K50" s="3">
        <v>4359.47</v>
      </c>
      <c r="L50" t="s">
        <v>35</v>
      </c>
      <c r="M50" t="s">
        <v>36</v>
      </c>
      <c r="N50" s="3">
        <f>Table1[[#This Row],[Quantity]]*Table1[[#This Row],[UnitPrice]]*(1-Table1[[#This Row],[Discount]])</f>
        <v>4359.4740000000002</v>
      </c>
    </row>
    <row r="51" spans="1:14" x14ac:dyDescent="0.35">
      <c r="A51" s="8">
        <v>1284</v>
      </c>
      <c r="B51" s="2">
        <v>45750</v>
      </c>
      <c r="C51" t="s">
        <v>27</v>
      </c>
      <c r="D51" t="s">
        <v>31</v>
      </c>
      <c r="E51" t="s">
        <v>80</v>
      </c>
      <c r="F51" t="s">
        <v>17</v>
      </c>
      <c r="G51" t="s">
        <v>46</v>
      </c>
      <c r="H51" s="8">
        <v>8</v>
      </c>
      <c r="I51" s="8">
        <v>495.46</v>
      </c>
      <c r="J51" s="8">
        <v>0.1</v>
      </c>
      <c r="K51" s="3">
        <v>3567.31</v>
      </c>
      <c r="L51" t="s">
        <v>19</v>
      </c>
      <c r="M51" t="s">
        <v>26</v>
      </c>
      <c r="N51" s="3">
        <f>Table1[[#This Row],[Quantity]]*Table1[[#This Row],[UnitPrice]]*(1-Table1[[#This Row],[Discount]])</f>
        <v>3567.3119999999999</v>
      </c>
    </row>
    <row r="52" spans="1:14" x14ac:dyDescent="0.35">
      <c r="A52" s="8">
        <v>1052</v>
      </c>
      <c r="B52" s="2">
        <v>45751</v>
      </c>
      <c r="C52" t="s">
        <v>21</v>
      </c>
      <c r="D52" t="s">
        <v>31</v>
      </c>
      <c r="E52" t="s">
        <v>81</v>
      </c>
      <c r="F52" t="s">
        <v>33</v>
      </c>
      <c r="G52" t="s">
        <v>53</v>
      </c>
      <c r="H52" s="8">
        <v>9</v>
      </c>
      <c r="I52" s="8">
        <v>80.95</v>
      </c>
      <c r="J52" s="8">
        <v>0</v>
      </c>
      <c r="K52" s="3">
        <v>728.55</v>
      </c>
      <c r="L52" t="s">
        <v>35</v>
      </c>
      <c r="M52" t="s">
        <v>26</v>
      </c>
      <c r="N52" s="3">
        <f>Table1[[#This Row],[Quantity]]*Table1[[#This Row],[UnitPrice]]*(1-Table1[[#This Row],[Discount]])</f>
        <v>728.55000000000007</v>
      </c>
    </row>
    <row r="53" spans="1:14" x14ac:dyDescent="0.35">
      <c r="A53" s="8">
        <v>1161</v>
      </c>
      <c r="B53" s="2">
        <v>45753</v>
      </c>
      <c r="C53" t="s">
        <v>27</v>
      </c>
      <c r="D53" t="s">
        <v>47</v>
      </c>
      <c r="E53" t="s">
        <v>80</v>
      </c>
      <c r="F53" t="s">
        <v>24</v>
      </c>
      <c r="G53" t="s">
        <v>38</v>
      </c>
      <c r="H53" s="8">
        <v>6</v>
      </c>
      <c r="I53" s="8">
        <v>1198.32</v>
      </c>
      <c r="J53" s="8">
        <v>0.15</v>
      </c>
      <c r="K53" s="3">
        <v>6111.43</v>
      </c>
      <c r="L53" t="s">
        <v>39</v>
      </c>
      <c r="M53" t="s">
        <v>36</v>
      </c>
      <c r="N53" s="3">
        <f>Table1[[#This Row],[Quantity]]*Table1[[#This Row],[UnitPrice]]*(1-Table1[[#This Row],[Discount]])</f>
        <v>6111.4319999999998</v>
      </c>
    </row>
    <row r="54" spans="1:14" x14ac:dyDescent="0.35">
      <c r="A54" s="8">
        <v>1128</v>
      </c>
      <c r="B54" s="2">
        <v>45755</v>
      </c>
      <c r="C54" t="s">
        <v>43</v>
      </c>
      <c r="D54" t="s">
        <v>54</v>
      </c>
      <c r="E54" t="s">
        <v>60</v>
      </c>
      <c r="F54" t="s">
        <v>33</v>
      </c>
      <c r="G54" t="s">
        <v>61</v>
      </c>
      <c r="H54" s="8">
        <v>7</v>
      </c>
      <c r="I54" s="8">
        <v>1071.58</v>
      </c>
      <c r="J54" s="8">
        <v>0.05</v>
      </c>
      <c r="K54" s="3">
        <v>7126.01</v>
      </c>
      <c r="L54" t="s">
        <v>35</v>
      </c>
      <c r="M54" t="s">
        <v>36</v>
      </c>
      <c r="N54" s="3">
        <f>Table1[[#This Row],[Quantity]]*Table1[[#This Row],[UnitPrice]]*(1-Table1[[#This Row],[Discount]])</f>
        <v>7126.0069999999996</v>
      </c>
    </row>
    <row r="55" spans="1:14" x14ac:dyDescent="0.35">
      <c r="A55" s="8">
        <v>1153</v>
      </c>
      <c r="B55" s="2">
        <v>45756</v>
      </c>
      <c r="C55" t="s">
        <v>27</v>
      </c>
      <c r="D55" t="s">
        <v>28</v>
      </c>
      <c r="E55" t="s">
        <v>51</v>
      </c>
      <c r="F55" t="s">
        <v>24</v>
      </c>
      <c r="G55" t="s">
        <v>38</v>
      </c>
      <c r="H55" s="8">
        <v>10</v>
      </c>
      <c r="I55" s="8">
        <v>644.11</v>
      </c>
      <c r="J55" s="8">
        <v>0</v>
      </c>
      <c r="K55" s="3">
        <v>6441.1</v>
      </c>
      <c r="L55" t="s">
        <v>39</v>
      </c>
      <c r="M55" t="s">
        <v>20</v>
      </c>
      <c r="N55" s="3">
        <f>Table1[[#This Row],[Quantity]]*Table1[[#This Row],[UnitPrice]]*(1-Table1[[#This Row],[Discount]])</f>
        <v>6441.1</v>
      </c>
    </row>
    <row r="56" spans="1:14" x14ac:dyDescent="0.35">
      <c r="A56" s="8">
        <v>1080</v>
      </c>
      <c r="B56" s="2">
        <v>45757</v>
      </c>
      <c r="C56" t="s">
        <v>14</v>
      </c>
      <c r="D56" t="s">
        <v>54</v>
      </c>
      <c r="E56" t="s">
        <v>82</v>
      </c>
      <c r="F56" t="s">
        <v>33</v>
      </c>
      <c r="G56" t="s">
        <v>61</v>
      </c>
      <c r="H56" s="8">
        <v>15</v>
      </c>
      <c r="I56" s="8">
        <v>507.31</v>
      </c>
      <c r="J56" s="8">
        <v>0.1</v>
      </c>
      <c r="K56" s="3">
        <v>6848.68</v>
      </c>
      <c r="L56" t="s">
        <v>35</v>
      </c>
      <c r="M56" t="s">
        <v>26</v>
      </c>
      <c r="N56" s="3">
        <f>Table1[[#This Row],[Quantity]]*Table1[[#This Row],[UnitPrice]]*(1-Table1[[#This Row],[Discount]])</f>
        <v>6848.6849999999995</v>
      </c>
    </row>
    <row r="57" spans="1:14" x14ac:dyDescent="0.35">
      <c r="A57" s="8">
        <v>1107</v>
      </c>
      <c r="B57" s="2">
        <v>45757</v>
      </c>
      <c r="C57" t="s">
        <v>43</v>
      </c>
      <c r="D57" t="s">
        <v>47</v>
      </c>
      <c r="E57" t="s">
        <v>16</v>
      </c>
      <c r="F57" t="s">
        <v>33</v>
      </c>
      <c r="G57" t="s">
        <v>34</v>
      </c>
      <c r="H57" s="8">
        <v>8</v>
      </c>
      <c r="I57" s="8">
        <v>671.23</v>
      </c>
      <c r="J57" s="8">
        <v>0.1</v>
      </c>
      <c r="K57" s="3">
        <v>4832.8599999999997</v>
      </c>
      <c r="L57" t="s">
        <v>19</v>
      </c>
      <c r="M57" t="s">
        <v>36</v>
      </c>
      <c r="N57" s="3">
        <f>Table1[[#This Row],[Quantity]]*Table1[[#This Row],[UnitPrice]]*(1-Table1[[#This Row],[Discount]])</f>
        <v>4832.8560000000007</v>
      </c>
    </row>
    <row r="58" spans="1:14" x14ac:dyDescent="0.35">
      <c r="A58" s="8">
        <v>1101</v>
      </c>
      <c r="B58" s="2">
        <v>45759</v>
      </c>
      <c r="C58" t="s">
        <v>43</v>
      </c>
      <c r="D58" t="s">
        <v>31</v>
      </c>
      <c r="E58" t="s">
        <v>83</v>
      </c>
      <c r="F58" t="s">
        <v>17</v>
      </c>
      <c r="G58" t="s">
        <v>46</v>
      </c>
      <c r="H58" s="8">
        <v>14</v>
      </c>
      <c r="I58" s="8">
        <v>397.49</v>
      </c>
      <c r="J58" s="8">
        <v>0.1</v>
      </c>
      <c r="K58" s="3">
        <v>5008.37</v>
      </c>
      <c r="L58" t="s">
        <v>39</v>
      </c>
      <c r="M58" t="s">
        <v>26</v>
      </c>
      <c r="N58" s="3">
        <f>Table1[[#This Row],[Quantity]]*Table1[[#This Row],[UnitPrice]]*(1-Table1[[#This Row],[Discount]])</f>
        <v>5008.3740000000007</v>
      </c>
    </row>
    <row r="59" spans="1:14" x14ac:dyDescent="0.35">
      <c r="A59" s="8">
        <v>1033</v>
      </c>
      <c r="B59" s="2">
        <v>45763</v>
      </c>
      <c r="C59" t="s">
        <v>27</v>
      </c>
      <c r="D59" t="s">
        <v>54</v>
      </c>
      <c r="E59" t="s">
        <v>73</v>
      </c>
      <c r="F59" t="s">
        <v>17</v>
      </c>
      <c r="G59" t="s">
        <v>18</v>
      </c>
      <c r="H59" s="8">
        <v>5</v>
      </c>
      <c r="I59" s="8">
        <v>135.82</v>
      </c>
      <c r="J59" s="8">
        <v>0.05</v>
      </c>
      <c r="K59" s="3">
        <v>645.14</v>
      </c>
      <c r="L59" t="s">
        <v>39</v>
      </c>
      <c r="M59" t="s">
        <v>20</v>
      </c>
      <c r="N59" s="3">
        <f>Table1[[#This Row],[Quantity]]*Table1[[#This Row],[UnitPrice]]*(1-Table1[[#This Row],[Discount]])</f>
        <v>645.14499999999987</v>
      </c>
    </row>
    <row r="60" spans="1:14" x14ac:dyDescent="0.35">
      <c r="A60" s="8">
        <v>1063</v>
      </c>
      <c r="B60" s="2">
        <v>45764</v>
      </c>
      <c r="C60" t="s">
        <v>14</v>
      </c>
      <c r="D60" t="s">
        <v>47</v>
      </c>
      <c r="E60" t="s">
        <v>59</v>
      </c>
      <c r="F60" t="s">
        <v>24</v>
      </c>
      <c r="G60" t="s">
        <v>63</v>
      </c>
      <c r="H60" s="8">
        <v>6</v>
      </c>
      <c r="I60" s="8">
        <v>618.25</v>
      </c>
      <c r="J60" s="8">
        <v>0.1</v>
      </c>
      <c r="K60" s="3">
        <v>3338.55</v>
      </c>
      <c r="L60" t="s">
        <v>35</v>
      </c>
      <c r="M60" t="s">
        <v>20</v>
      </c>
      <c r="N60" s="3">
        <f>Table1[[#This Row],[Quantity]]*Table1[[#This Row],[UnitPrice]]*(1-Table1[[#This Row],[Discount]])</f>
        <v>3338.55</v>
      </c>
    </row>
    <row r="61" spans="1:14" x14ac:dyDescent="0.35">
      <c r="A61" s="8">
        <v>1216</v>
      </c>
      <c r="B61" s="2">
        <v>45764</v>
      </c>
      <c r="C61" t="s">
        <v>27</v>
      </c>
      <c r="D61" t="s">
        <v>31</v>
      </c>
      <c r="E61" t="s">
        <v>56</v>
      </c>
      <c r="F61" t="s">
        <v>33</v>
      </c>
      <c r="G61" t="s">
        <v>34</v>
      </c>
      <c r="H61" s="8">
        <v>14</v>
      </c>
      <c r="I61" s="8">
        <v>904.51</v>
      </c>
      <c r="J61" s="8">
        <v>0.15</v>
      </c>
      <c r="K61" s="3">
        <v>10763.67</v>
      </c>
      <c r="L61" t="s">
        <v>39</v>
      </c>
      <c r="M61" t="s">
        <v>20</v>
      </c>
      <c r="N61" s="3">
        <f>Table1[[#This Row],[Quantity]]*Table1[[#This Row],[UnitPrice]]*(1-Table1[[#This Row],[Discount]])</f>
        <v>10763.669</v>
      </c>
    </row>
    <row r="62" spans="1:14" x14ac:dyDescent="0.35">
      <c r="A62" s="8">
        <v>1088</v>
      </c>
      <c r="B62" s="2">
        <v>45765</v>
      </c>
      <c r="C62" t="s">
        <v>27</v>
      </c>
      <c r="D62" t="s">
        <v>54</v>
      </c>
      <c r="E62" t="s">
        <v>50</v>
      </c>
      <c r="F62" t="s">
        <v>24</v>
      </c>
      <c r="G62" t="s">
        <v>38</v>
      </c>
      <c r="H62" s="8">
        <v>11</v>
      </c>
      <c r="I62" s="8">
        <v>966.5</v>
      </c>
      <c r="J62" s="8">
        <v>0</v>
      </c>
      <c r="K62" s="3">
        <v>10631.5</v>
      </c>
      <c r="L62" t="s">
        <v>19</v>
      </c>
      <c r="M62" t="s">
        <v>20</v>
      </c>
      <c r="N62" s="3">
        <f>Table1[[#This Row],[Quantity]]*Table1[[#This Row],[UnitPrice]]*(1-Table1[[#This Row],[Discount]])</f>
        <v>10631.5</v>
      </c>
    </row>
    <row r="63" spans="1:14" x14ac:dyDescent="0.35">
      <c r="A63" s="8">
        <v>1183</v>
      </c>
      <c r="B63" s="2">
        <v>45767</v>
      </c>
      <c r="C63" t="s">
        <v>14</v>
      </c>
      <c r="D63" t="s">
        <v>47</v>
      </c>
      <c r="E63" t="s">
        <v>84</v>
      </c>
      <c r="F63" t="s">
        <v>33</v>
      </c>
      <c r="G63" t="s">
        <v>34</v>
      </c>
      <c r="H63" s="8">
        <v>1</v>
      </c>
      <c r="I63" s="8">
        <v>1039.8</v>
      </c>
      <c r="J63" s="8">
        <v>0.15</v>
      </c>
      <c r="K63" s="3">
        <v>883.83</v>
      </c>
      <c r="L63" t="s">
        <v>39</v>
      </c>
      <c r="M63" t="s">
        <v>26</v>
      </c>
      <c r="N63" s="3">
        <f>Table1[[#This Row],[Quantity]]*Table1[[#This Row],[UnitPrice]]*(1-Table1[[#This Row],[Discount]])</f>
        <v>883.82999999999993</v>
      </c>
    </row>
    <row r="64" spans="1:14" x14ac:dyDescent="0.35">
      <c r="A64" s="8">
        <v>1159</v>
      </c>
      <c r="B64" s="2">
        <v>45768</v>
      </c>
      <c r="C64" t="s">
        <v>21</v>
      </c>
      <c r="D64" t="s">
        <v>22</v>
      </c>
      <c r="E64" t="s">
        <v>85</v>
      </c>
      <c r="F64" t="s">
        <v>17</v>
      </c>
      <c r="G64" t="s">
        <v>46</v>
      </c>
      <c r="H64" s="8">
        <v>5</v>
      </c>
      <c r="I64" s="8">
        <v>682.4</v>
      </c>
      <c r="J64" s="8">
        <v>0.05</v>
      </c>
      <c r="K64" s="3">
        <v>3241.4</v>
      </c>
      <c r="L64" t="s">
        <v>35</v>
      </c>
      <c r="M64" t="s">
        <v>26</v>
      </c>
      <c r="N64" s="3">
        <f>Table1[[#This Row],[Quantity]]*Table1[[#This Row],[UnitPrice]]*(1-Table1[[#This Row],[Discount]])</f>
        <v>3241.3999999999996</v>
      </c>
    </row>
    <row r="65" spans="1:14" x14ac:dyDescent="0.35">
      <c r="A65" s="8">
        <v>1048</v>
      </c>
      <c r="B65" s="2">
        <v>45769</v>
      </c>
      <c r="C65" t="s">
        <v>27</v>
      </c>
      <c r="D65" t="s">
        <v>47</v>
      </c>
      <c r="E65" t="s">
        <v>86</v>
      </c>
      <c r="F65" t="s">
        <v>33</v>
      </c>
      <c r="G65" t="s">
        <v>34</v>
      </c>
      <c r="H65" s="8">
        <v>14</v>
      </c>
      <c r="I65" s="8">
        <v>766.3</v>
      </c>
      <c r="J65" s="8">
        <v>0</v>
      </c>
      <c r="K65" s="3">
        <v>10728.2</v>
      </c>
      <c r="L65" t="s">
        <v>19</v>
      </c>
      <c r="M65" t="s">
        <v>26</v>
      </c>
      <c r="N65" s="3">
        <f>Table1[[#This Row],[Quantity]]*Table1[[#This Row],[UnitPrice]]*(1-Table1[[#This Row],[Discount]])</f>
        <v>10728.199999999999</v>
      </c>
    </row>
    <row r="66" spans="1:14" x14ac:dyDescent="0.35">
      <c r="A66" s="8">
        <v>1215</v>
      </c>
      <c r="B66" s="2">
        <v>45770</v>
      </c>
      <c r="C66" t="s">
        <v>14</v>
      </c>
      <c r="D66" t="s">
        <v>15</v>
      </c>
      <c r="E66" t="s">
        <v>65</v>
      </c>
      <c r="F66" t="s">
        <v>33</v>
      </c>
      <c r="G66" t="s">
        <v>61</v>
      </c>
      <c r="H66" s="8">
        <v>10</v>
      </c>
      <c r="I66" s="8">
        <v>79.92</v>
      </c>
      <c r="J66" s="8">
        <v>0.1</v>
      </c>
      <c r="K66" s="3">
        <v>719.28</v>
      </c>
      <c r="L66" t="s">
        <v>19</v>
      </c>
      <c r="M66" t="s">
        <v>20</v>
      </c>
      <c r="N66" s="3">
        <f>Table1[[#This Row],[Quantity]]*Table1[[#This Row],[UnitPrice]]*(1-Table1[[#This Row],[Discount]])</f>
        <v>719.28000000000009</v>
      </c>
    </row>
    <row r="67" spans="1:14" x14ac:dyDescent="0.35">
      <c r="A67" s="8">
        <v>1010</v>
      </c>
      <c r="B67" s="2">
        <v>45771</v>
      </c>
      <c r="C67" t="s">
        <v>14</v>
      </c>
      <c r="D67" t="s">
        <v>31</v>
      </c>
      <c r="E67" t="s">
        <v>87</v>
      </c>
      <c r="F67" t="s">
        <v>24</v>
      </c>
      <c r="G67" t="s">
        <v>63</v>
      </c>
      <c r="H67" s="8">
        <v>2</v>
      </c>
      <c r="I67" s="8">
        <v>759.34</v>
      </c>
      <c r="J67" s="8">
        <v>0.05</v>
      </c>
      <c r="K67" s="3">
        <v>1442.75</v>
      </c>
      <c r="L67" t="s">
        <v>19</v>
      </c>
      <c r="M67" t="s">
        <v>36</v>
      </c>
      <c r="N67" s="3">
        <f>Table1[[#This Row],[Quantity]]*Table1[[#This Row],[UnitPrice]]*(1-Table1[[#This Row],[Discount]])</f>
        <v>1442.7460000000001</v>
      </c>
    </row>
    <row r="68" spans="1:14" x14ac:dyDescent="0.35">
      <c r="A68" s="8">
        <v>1028</v>
      </c>
      <c r="B68" s="2">
        <v>45775</v>
      </c>
      <c r="C68" t="s">
        <v>14</v>
      </c>
      <c r="D68" t="s">
        <v>15</v>
      </c>
      <c r="E68" t="s">
        <v>40</v>
      </c>
      <c r="F68" t="s">
        <v>33</v>
      </c>
      <c r="G68" t="s">
        <v>34</v>
      </c>
      <c r="H68" s="8">
        <v>11</v>
      </c>
      <c r="I68" s="8">
        <v>505.67</v>
      </c>
      <c r="J68" s="8">
        <v>0.15</v>
      </c>
      <c r="K68" s="3">
        <v>4728.01</v>
      </c>
      <c r="L68" t="s">
        <v>39</v>
      </c>
      <c r="M68" t="s">
        <v>26</v>
      </c>
      <c r="N68" s="3">
        <f>Table1[[#This Row],[Quantity]]*Table1[[#This Row],[UnitPrice]]*(1-Table1[[#This Row],[Discount]])</f>
        <v>4728.0145000000002</v>
      </c>
    </row>
    <row r="69" spans="1:14" x14ac:dyDescent="0.35">
      <c r="A69" s="8">
        <v>1117</v>
      </c>
      <c r="B69" s="2">
        <v>45775</v>
      </c>
      <c r="C69" t="s">
        <v>14</v>
      </c>
      <c r="D69" t="s">
        <v>15</v>
      </c>
      <c r="E69" t="s">
        <v>41</v>
      </c>
      <c r="F69" t="s">
        <v>17</v>
      </c>
      <c r="G69" t="s">
        <v>30</v>
      </c>
      <c r="H69" s="8">
        <v>10</v>
      </c>
      <c r="I69" s="8">
        <v>727.41</v>
      </c>
      <c r="J69" s="8">
        <v>0.15</v>
      </c>
      <c r="K69" s="3">
        <v>6182.98</v>
      </c>
      <c r="L69" t="s">
        <v>19</v>
      </c>
      <c r="M69" t="s">
        <v>26</v>
      </c>
      <c r="N69" s="3">
        <f>Table1[[#This Row],[Quantity]]*Table1[[#This Row],[UnitPrice]]*(1-Table1[[#This Row],[Discount]])</f>
        <v>6182.9849999999997</v>
      </c>
    </row>
    <row r="70" spans="1:14" x14ac:dyDescent="0.35">
      <c r="A70" s="8">
        <v>1198</v>
      </c>
      <c r="B70" s="2">
        <v>45775</v>
      </c>
      <c r="C70" t="s">
        <v>27</v>
      </c>
      <c r="D70" t="s">
        <v>31</v>
      </c>
      <c r="E70" t="s">
        <v>32</v>
      </c>
      <c r="F70" t="s">
        <v>17</v>
      </c>
      <c r="G70" t="s">
        <v>18</v>
      </c>
      <c r="H70" s="8">
        <v>11</v>
      </c>
      <c r="I70" s="8">
        <v>1087.1199999999999</v>
      </c>
      <c r="J70" s="8">
        <v>0</v>
      </c>
      <c r="K70" s="3">
        <v>11958.32</v>
      </c>
      <c r="L70" t="s">
        <v>39</v>
      </c>
      <c r="M70" t="s">
        <v>36</v>
      </c>
      <c r="N70" s="3">
        <f>Table1[[#This Row],[Quantity]]*Table1[[#This Row],[UnitPrice]]*(1-Table1[[#This Row],[Discount]])</f>
        <v>11958.32</v>
      </c>
    </row>
    <row r="71" spans="1:14" x14ac:dyDescent="0.35">
      <c r="A71" s="8">
        <v>1039</v>
      </c>
      <c r="B71" s="2">
        <v>45777</v>
      </c>
      <c r="C71" t="s">
        <v>14</v>
      </c>
      <c r="D71" t="s">
        <v>31</v>
      </c>
      <c r="E71" t="s">
        <v>70</v>
      </c>
      <c r="F71" t="s">
        <v>24</v>
      </c>
      <c r="G71" t="s">
        <v>63</v>
      </c>
      <c r="H71" s="8">
        <v>2</v>
      </c>
      <c r="I71" s="8">
        <v>999</v>
      </c>
      <c r="J71" s="8">
        <v>0.05</v>
      </c>
      <c r="K71" s="3">
        <v>2242.6999999999998</v>
      </c>
      <c r="L71" t="s">
        <v>35</v>
      </c>
      <c r="M71" t="s">
        <v>20</v>
      </c>
      <c r="N71" s="3">
        <f>Table1[[#This Row],[Quantity]]*Table1[[#This Row],[UnitPrice]]*(1-Table1[[#This Row],[Discount]])</f>
        <v>1898.1</v>
      </c>
    </row>
    <row r="72" spans="1:14" x14ac:dyDescent="0.35">
      <c r="A72" s="8">
        <v>1176</v>
      </c>
      <c r="B72" s="2">
        <v>45780</v>
      </c>
      <c r="C72" t="s">
        <v>21</v>
      </c>
      <c r="D72" t="s">
        <v>15</v>
      </c>
      <c r="E72" t="s">
        <v>32</v>
      </c>
      <c r="F72" t="s">
        <v>33</v>
      </c>
      <c r="G72" t="s">
        <v>53</v>
      </c>
      <c r="H72" s="8">
        <v>3</v>
      </c>
      <c r="I72" s="8">
        <v>729.99</v>
      </c>
      <c r="J72" s="8">
        <v>0.15</v>
      </c>
      <c r="K72" s="3">
        <v>1861.47</v>
      </c>
      <c r="L72" t="s">
        <v>35</v>
      </c>
      <c r="M72" t="s">
        <v>36</v>
      </c>
      <c r="N72" s="3">
        <f>Table1[[#This Row],[Quantity]]*Table1[[#This Row],[UnitPrice]]*(1-Table1[[#This Row],[Discount]])</f>
        <v>1861.4745000000003</v>
      </c>
    </row>
    <row r="73" spans="1:14" x14ac:dyDescent="0.35">
      <c r="A73" s="8">
        <v>1098</v>
      </c>
      <c r="B73" s="2">
        <v>45781</v>
      </c>
      <c r="C73" t="s">
        <v>27</v>
      </c>
      <c r="D73" t="s">
        <v>15</v>
      </c>
      <c r="E73" t="s">
        <v>88</v>
      </c>
      <c r="F73" t="s">
        <v>17</v>
      </c>
      <c r="G73" t="s">
        <v>18</v>
      </c>
      <c r="H73" s="8">
        <v>2</v>
      </c>
      <c r="I73" s="8">
        <v>701.36</v>
      </c>
      <c r="J73" s="8">
        <v>0.1</v>
      </c>
      <c r="K73" s="3">
        <v>1262.45</v>
      </c>
      <c r="L73" t="s">
        <v>19</v>
      </c>
      <c r="M73" t="s">
        <v>20</v>
      </c>
      <c r="N73" s="3">
        <f>Table1[[#This Row],[Quantity]]*Table1[[#This Row],[UnitPrice]]*(1-Table1[[#This Row],[Discount]])</f>
        <v>1262.4480000000001</v>
      </c>
    </row>
    <row r="74" spans="1:14" x14ac:dyDescent="0.35">
      <c r="A74" s="8">
        <v>1273</v>
      </c>
      <c r="B74" s="2">
        <v>45781</v>
      </c>
      <c r="C74" t="s">
        <v>14</v>
      </c>
      <c r="D74" t="s">
        <v>31</v>
      </c>
      <c r="E74" t="s">
        <v>89</v>
      </c>
      <c r="F74" t="s">
        <v>24</v>
      </c>
      <c r="G74" t="s">
        <v>38</v>
      </c>
      <c r="H74" s="8">
        <v>13</v>
      </c>
      <c r="I74" s="8">
        <v>447.82</v>
      </c>
      <c r="J74" s="8">
        <v>0.15</v>
      </c>
      <c r="K74" s="3">
        <v>4948.41</v>
      </c>
      <c r="L74" t="s">
        <v>39</v>
      </c>
      <c r="M74" t="s">
        <v>26</v>
      </c>
      <c r="N74" s="3">
        <f>Table1[[#This Row],[Quantity]]*Table1[[#This Row],[UnitPrice]]*(1-Table1[[#This Row],[Discount]])</f>
        <v>4948.4110000000001</v>
      </c>
    </row>
    <row r="75" spans="1:14" x14ac:dyDescent="0.35">
      <c r="A75" s="8">
        <v>1138</v>
      </c>
      <c r="B75" s="2">
        <v>45783</v>
      </c>
      <c r="C75" t="s">
        <v>27</v>
      </c>
      <c r="D75" t="s">
        <v>31</v>
      </c>
      <c r="E75" t="s">
        <v>79</v>
      </c>
      <c r="F75" t="s">
        <v>17</v>
      </c>
      <c r="G75" t="s">
        <v>46</v>
      </c>
      <c r="H75" s="8">
        <v>4</v>
      </c>
      <c r="I75" s="8">
        <v>1071.3399999999999</v>
      </c>
      <c r="J75" s="8">
        <v>0.05</v>
      </c>
      <c r="K75" s="3">
        <v>4071.09</v>
      </c>
      <c r="L75" t="s">
        <v>35</v>
      </c>
      <c r="M75" t="s">
        <v>26</v>
      </c>
      <c r="N75" s="3">
        <f>Table1[[#This Row],[Quantity]]*Table1[[#This Row],[UnitPrice]]*(1-Table1[[#This Row],[Discount]])</f>
        <v>4071.0919999999996</v>
      </c>
    </row>
    <row r="76" spans="1:14" x14ac:dyDescent="0.35">
      <c r="A76" s="8">
        <v>1232</v>
      </c>
      <c r="B76" s="2">
        <v>45785</v>
      </c>
      <c r="C76" t="s">
        <v>21</v>
      </c>
      <c r="D76" t="s">
        <v>28</v>
      </c>
      <c r="E76" t="s">
        <v>52</v>
      </c>
      <c r="F76" t="s">
        <v>33</v>
      </c>
      <c r="G76" t="s">
        <v>34</v>
      </c>
      <c r="H76" s="8">
        <v>14</v>
      </c>
      <c r="I76" s="8">
        <v>579.27</v>
      </c>
      <c r="J76" s="8">
        <v>0.15</v>
      </c>
      <c r="K76" s="3">
        <v>6893.31</v>
      </c>
      <c r="L76" t="s">
        <v>35</v>
      </c>
      <c r="M76" t="s">
        <v>20</v>
      </c>
      <c r="N76" s="3">
        <f>Table1[[#This Row],[Quantity]]*Table1[[#This Row],[UnitPrice]]*(1-Table1[[#This Row],[Discount]])</f>
        <v>6893.3129999999992</v>
      </c>
    </row>
    <row r="77" spans="1:14" x14ac:dyDescent="0.35">
      <c r="A77" s="8">
        <v>1257</v>
      </c>
      <c r="B77" s="2">
        <v>45787</v>
      </c>
      <c r="C77" t="s">
        <v>43</v>
      </c>
      <c r="D77" t="s">
        <v>15</v>
      </c>
      <c r="E77" t="s">
        <v>81</v>
      </c>
      <c r="F77" t="s">
        <v>24</v>
      </c>
      <c r="G77" t="s">
        <v>38</v>
      </c>
      <c r="H77" s="8">
        <v>13</v>
      </c>
      <c r="I77" s="8">
        <v>574.36</v>
      </c>
      <c r="J77" s="8">
        <v>0.1</v>
      </c>
      <c r="K77" s="3">
        <v>6720.01</v>
      </c>
      <c r="L77" t="s">
        <v>19</v>
      </c>
      <c r="M77" t="s">
        <v>36</v>
      </c>
      <c r="N77" s="3">
        <f>Table1[[#This Row],[Quantity]]*Table1[[#This Row],[UnitPrice]]*(1-Table1[[#This Row],[Discount]])</f>
        <v>6720.0120000000006</v>
      </c>
    </row>
    <row r="78" spans="1:14" x14ac:dyDescent="0.35">
      <c r="A78" s="8">
        <v>1202</v>
      </c>
      <c r="B78" s="2">
        <v>45788</v>
      </c>
      <c r="C78" t="s">
        <v>43</v>
      </c>
      <c r="D78" t="s">
        <v>54</v>
      </c>
      <c r="E78" t="s">
        <v>72</v>
      </c>
      <c r="F78" t="s">
        <v>17</v>
      </c>
      <c r="G78" t="s">
        <v>18</v>
      </c>
      <c r="H78" s="8">
        <v>14</v>
      </c>
      <c r="I78" s="8">
        <v>413.43</v>
      </c>
      <c r="J78" s="8">
        <v>0.15</v>
      </c>
      <c r="K78" s="3">
        <v>4919.82</v>
      </c>
      <c r="L78" t="s">
        <v>35</v>
      </c>
      <c r="M78" t="s">
        <v>36</v>
      </c>
      <c r="N78" s="3">
        <f>Table1[[#This Row],[Quantity]]*Table1[[#This Row],[UnitPrice]]*(1-Table1[[#This Row],[Discount]])</f>
        <v>4919.817</v>
      </c>
    </row>
    <row r="79" spans="1:14" x14ac:dyDescent="0.35">
      <c r="A79" s="8">
        <v>1237</v>
      </c>
      <c r="B79" s="2">
        <v>45789</v>
      </c>
      <c r="C79" t="s">
        <v>21</v>
      </c>
      <c r="D79" t="s">
        <v>31</v>
      </c>
      <c r="E79" t="s">
        <v>55</v>
      </c>
      <c r="F79" t="s">
        <v>33</v>
      </c>
      <c r="G79" t="s">
        <v>34</v>
      </c>
      <c r="H79" s="8">
        <v>15</v>
      </c>
      <c r="I79" s="8">
        <v>522.66</v>
      </c>
      <c r="J79" s="8">
        <v>0.05</v>
      </c>
      <c r="K79" s="3">
        <v>7447.9</v>
      </c>
      <c r="L79" t="s">
        <v>19</v>
      </c>
      <c r="M79" t="s">
        <v>26</v>
      </c>
      <c r="N79" s="3">
        <f>Table1[[#This Row],[Quantity]]*Table1[[#This Row],[UnitPrice]]*(1-Table1[[#This Row],[Discount]])</f>
        <v>7447.9049999999997</v>
      </c>
    </row>
    <row r="80" spans="1:14" x14ac:dyDescent="0.35">
      <c r="A80" s="8">
        <v>1025</v>
      </c>
      <c r="B80" s="2">
        <v>45791</v>
      </c>
      <c r="C80" t="s">
        <v>27</v>
      </c>
      <c r="D80" t="s">
        <v>54</v>
      </c>
      <c r="E80" t="s">
        <v>90</v>
      </c>
      <c r="F80" t="s">
        <v>17</v>
      </c>
      <c r="G80" t="s">
        <v>18</v>
      </c>
      <c r="H80" s="8">
        <v>10</v>
      </c>
      <c r="I80" s="8">
        <v>268.57</v>
      </c>
      <c r="J80" s="8">
        <v>0</v>
      </c>
      <c r="K80" s="3">
        <v>2685.7</v>
      </c>
      <c r="L80" t="s">
        <v>35</v>
      </c>
      <c r="M80" t="s">
        <v>36</v>
      </c>
      <c r="N80" s="3">
        <f>Table1[[#This Row],[Quantity]]*Table1[[#This Row],[UnitPrice]]*(1-Table1[[#This Row],[Discount]])</f>
        <v>2685.7</v>
      </c>
    </row>
    <row r="81" spans="1:14" x14ac:dyDescent="0.35">
      <c r="A81" s="8">
        <v>1054</v>
      </c>
      <c r="B81" s="2">
        <v>45791</v>
      </c>
      <c r="C81" t="s">
        <v>27</v>
      </c>
      <c r="D81" t="s">
        <v>28</v>
      </c>
      <c r="E81" t="s">
        <v>78</v>
      </c>
      <c r="F81" t="s">
        <v>24</v>
      </c>
      <c r="G81" t="s">
        <v>25</v>
      </c>
      <c r="H81" s="8">
        <v>10</v>
      </c>
      <c r="I81" s="8">
        <v>382.06</v>
      </c>
      <c r="J81" s="8">
        <v>0.05</v>
      </c>
      <c r="K81" s="3">
        <v>3629.57</v>
      </c>
      <c r="L81" t="s">
        <v>39</v>
      </c>
      <c r="M81" t="s">
        <v>36</v>
      </c>
      <c r="N81" s="3">
        <f>Table1[[#This Row],[Quantity]]*Table1[[#This Row],[UnitPrice]]*(1-Table1[[#This Row],[Discount]])</f>
        <v>3629.5699999999997</v>
      </c>
    </row>
    <row r="82" spans="1:14" x14ac:dyDescent="0.35">
      <c r="A82" s="8">
        <v>1119</v>
      </c>
      <c r="B82" s="2">
        <v>45794</v>
      </c>
      <c r="C82" t="s">
        <v>21</v>
      </c>
      <c r="D82" t="s">
        <v>28</v>
      </c>
      <c r="E82" t="s">
        <v>91</v>
      </c>
      <c r="F82" t="s">
        <v>24</v>
      </c>
      <c r="G82" t="s">
        <v>25</v>
      </c>
      <c r="H82" s="8">
        <v>2</v>
      </c>
      <c r="I82" s="8">
        <v>804.39</v>
      </c>
      <c r="J82" s="8">
        <v>0</v>
      </c>
      <c r="K82" s="3">
        <v>1608.78</v>
      </c>
      <c r="L82" t="s">
        <v>39</v>
      </c>
      <c r="M82" t="s">
        <v>26</v>
      </c>
      <c r="N82" s="3">
        <f>Table1[[#This Row],[Quantity]]*Table1[[#This Row],[UnitPrice]]*(1-Table1[[#This Row],[Discount]])</f>
        <v>1608.78</v>
      </c>
    </row>
    <row r="83" spans="1:14" x14ac:dyDescent="0.35">
      <c r="A83" s="8">
        <v>1068</v>
      </c>
      <c r="B83" s="2">
        <v>45796</v>
      </c>
      <c r="C83" t="s">
        <v>14</v>
      </c>
      <c r="D83" t="s">
        <v>54</v>
      </c>
      <c r="E83" t="s">
        <v>89</v>
      </c>
      <c r="F83" t="s">
        <v>33</v>
      </c>
      <c r="G83" t="s">
        <v>61</v>
      </c>
      <c r="H83" s="8">
        <v>4</v>
      </c>
      <c r="I83" s="8">
        <v>779.99</v>
      </c>
      <c r="J83" s="8">
        <v>0.15</v>
      </c>
      <c r="K83" s="3">
        <v>2651.97</v>
      </c>
      <c r="L83" t="s">
        <v>39</v>
      </c>
      <c r="M83" t="s">
        <v>36</v>
      </c>
      <c r="N83" s="3">
        <f>Table1[[#This Row],[Quantity]]*Table1[[#This Row],[UnitPrice]]*(1-Table1[[#This Row],[Discount]])</f>
        <v>2651.9659999999999</v>
      </c>
    </row>
    <row r="84" spans="1:14" x14ac:dyDescent="0.35">
      <c r="A84" s="8">
        <v>1238</v>
      </c>
      <c r="B84" s="2">
        <v>45798</v>
      </c>
      <c r="C84" t="s">
        <v>14</v>
      </c>
      <c r="D84" t="s">
        <v>22</v>
      </c>
      <c r="E84" t="s">
        <v>92</v>
      </c>
      <c r="F84" t="s">
        <v>33</v>
      </c>
      <c r="G84" t="s">
        <v>61</v>
      </c>
      <c r="H84" s="8">
        <v>12</v>
      </c>
      <c r="I84" s="8">
        <v>810.84</v>
      </c>
      <c r="J84" s="8">
        <v>0.1</v>
      </c>
      <c r="K84" s="3">
        <v>8757.07</v>
      </c>
      <c r="L84" t="s">
        <v>35</v>
      </c>
      <c r="M84" t="s">
        <v>26</v>
      </c>
      <c r="N84" s="3">
        <f>Table1[[#This Row],[Quantity]]*Table1[[#This Row],[UnitPrice]]*(1-Table1[[#This Row],[Discount]])</f>
        <v>8757.0720000000001</v>
      </c>
    </row>
    <row r="85" spans="1:14" x14ac:dyDescent="0.35">
      <c r="A85" s="8">
        <v>1269</v>
      </c>
      <c r="B85" s="2">
        <v>45804</v>
      </c>
      <c r="C85" t="s">
        <v>14</v>
      </c>
      <c r="D85" t="s">
        <v>28</v>
      </c>
      <c r="E85" t="s">
        <v>93</v>
      </c>
      <c r="F85" t="s">
        <v>33</v>
      </c>
      <c r="G85" t="s">
        <v>61</v>
      </c>
      <c r="H85" s="8">
        <v>14</v>
      </c>
      <c r="I85" s="8">
        <v>703.31</v>
      </c>
      <c r="J85" s="8">
        <v>0.15</v>
      </c>
      <c r="K85" s="3">
        <v>8369.39</v>
      </c>
      <c r="L85" t="s">
        <v>35</v>
      </c>
      <c r="M85" t="s">
        <v>26</v>
      </c>
      <c r="N85" s="3">
        <f>Table1[[#This Row],[Quantity]]*Table1[[#This Row],[UnitPrice]]*(1-Table1[[#This Row],[Discount]])</f>
        <v>8369.3889999999992</v>
      </c>
    </row>
    <row r="86" spans="1:14" x14ac:dyDescent="0.35">
      <c r="A86" s="8">
        <v>1124</v>
      </c>
      <c r="B86" s="2">
        <v>45805</v>
      </c>
      <c r="C86" t="s">
        <v>43</v>
      </c>
      <c r="D86" t="s">
        <v>15</v>
      </c>
      <c r="E86" t="s">
        <v>94</v>
      </c>
      <c r="F86" t="s">
        <v>17</v>
      </c>
      <c r="G86" t="s">
        <v>18</v>
      </c>
      <c r="H86" s="8">
        <v>12</v>
      </c>
      <c r="I86" s="8">
        <v>1056.01</v>
      </c>
      <c r="J86" s="8">
        <v>0.15</v>
      </c>
      <c r="K86" s="3">
        <v>10771.3</v>
      </c>
      <c r="L86" t="s">
        <v>35</v>
      </c>
      <c r="M86" t="s">
        <v>26</v>
      </c>
      <c r="N86" s="3">
        <f>Table1[[#This Row],[Quantity]]*Table1[[#This Row],[UnitPrice]]*(1-Table1[[#This Row],[Discount]])</f>
        <v>10771.302</v>
      </c>
    </row>
    <row r="87" spans="1:14" x14ac:dyDescent="0.35">
      <c r="A87" s="8">
        <v>1180</v>
      </c>
      <c r="B87" s="2">
        <v>45805</v>
      </c>
      <c r="C87" t="s">
        <v>43</v>
      </c>
      <c r="D87" t="s">
        <v>22</v>
      </c>
      <c r="E87" t="s">
        <v>92</v>
      </c>
      <c r="F87" t="s">
        <v>33</v>
      </c>
      <c r="G87" t="s">
        <v>61</v>
      </c>
      <c r="H87" s="8">
        <v>8</v>
      </c>
      <c r="I87" s="8">
        <v>903.97</v>
      </c>
      <c r="J87" s="8">
        <v>0.1</v>
      </c>
      <c r="K87" s="3">
        <v>6508.58</v>
      </c>
      <c r="L87" t="s">
        <v>39</v>
      </c>
      <c r="M87" t="s">
        <v>26</v>
      </c>
      <c r="N87" s="3">
        <f>Table1[[#This Row],[Quantity]]*Table1[[#This Row],[UnitPrice]]*(1-Table1[[#This Row],[Discount]])</f>
        <v>6508.5840000000007</v>
      </c>
    </row>
    <row r="88" spans="1:14" x14ac:dyDescent="0.35">
      <c r="A88" s="8">
        <v>1246</v>
      </c>
      <c r="B88" s="2">
        <v>45805</v>
      </c>
      <c r="C88" t="s">
        <v>43</v>
      </c>
      <c r="D88" t="s">
        <v>54</v>
      </c>
      <c r="E88" t="s">
        <v>48</v>
      </c>
      <c r="F88" t="s">
        <v>33</v>
      </c>
      <c r="G88" t="s">
        <v>53</v>
      </c>
      <c r="H88" s="8">
        <v>8</v>
      </c>
      <c r="I88" s="8">
        <v>492.92</v>
      </c>
      <c r="J88" s="8">
        <v>0.15</v>
      </c>
      <c r="K88" s="3">
        <v>3351.86</v>
      </c>
      <c r="L88" t="s">
        <v>39</v>
      </c>
      <c r="M88" t="s">
        <v>26</v>
      </c>
      <c r="N88" s="3">
        <f>Table1[[#This Row],[Quantity]]*Table1[[#This Row],[UnitPrice]]*(1-Table1[[#This Row],[Discount]])</f>
        <v>3351.8560000000002</v>
      </c>
    </row>
    <row r="89" spans="1:14" x14ac:dyDescent="0.35">
      <c r="A89" s="8">
        <v>1262</v>
      </c>
      <c r="B89" s="2">
        <v>45807</v>
      </c>
      <c r="C89" t="s">
        <v>14</v>
      </c>
      <c r="D89" t="s">
        <v>28</v>
      </c>
      <c r="E89" t="s">
        <v>49</v>
      </c>
      <c r="F89" t="s">
        <v>17</v>
      </c>
      <c r="G89" t="s">
        <v>46</v>
      </c>
      <c r="H89" s="8">
        <v>6</v>
      </c>
      <c r="I89" s="8">
        <v>1035.44</v>
      </c>
      <c r="J89" s="8">
        <v>0.1</v>
      </c>
      <c r="K89" s="3">
        <v>5591.38</v>
      </c>
      <c r="L89" t="s">
        <v>39</v>
      </c>
      <c r="M89" t="s">
        <v>36</v>
      </c>
      <c r="N89" s="3">
        <f>Table1[[#This Row],[Quantity]]*Table1[[#This Row],[UnitPrice]]*(1-Table1[[#This Row],[Discount]])</f>
        <v>5591.3760000000002</v>
      </c>
    </row>
    <row r="90" spans="1:14" x14ac:dyDescent="0.35">
      <c r="A90" s="8">
        <v>1109</v>
      </c>
      <c r="B90" s="2">
        <v>45809</v>
      </c>
      <c r="C90" t="s">
        <v>21</v>
      </c>
      <c r="D90" t="s">
        <v>15</v>
      </c>
      <c r="E90" t="s">
        <v>82</v>
      </c>
      <c r="F90" t="s">
        <v>24</v>
      </c>
      <c r="G90" t="s">
        <v>63</v>
      </c>
      <c r="H90" s="8">
        <v>8</v>
      </c>
      <c r="I90" s="8">
        <v>1154.1199999999999</v>
      </c>
      <c r="J90" s="8">
        <v>0.1</v>
      </c>
      <c r="K90" s="3">
        <v>8309.66</v>
      </c>
      <c r="L90" t="s">
        <v>19</v>
      </c>
      <c r="M90" t="s">
        <v>26</v>
      </c>
      <c r="N90" s="3">
        <f>Table1[[#This Row],[Quantity]]*Table1[[#This Row],[UnitPrice]]*(1-Table1[[#This Row],[Discount]])</f>
        <v>8309.6639999999989</v>
      </c>
    </row>
    <row r="91" spans="1:14" x14ac:dyDescent="0.35">
      <c r="A91" s="8">
        <v>1152</v>
      </c>
      <c r="B91" s="2">
        <v>45811</v>
      </c>
      <c r="C91" t="s">
        <v>27</v>
      </c>
      <c r="D91" t="s">
        <v>28</v>
      </c>
      <c r="E91" t="s">
        <v>95</v>
      </c>
      <c r="F91" t="s">
        <v>24</v>
      </c>
      <c r="G91" t="s">
        <v>63</v>
      </c>
      <c r="H91" s="8">
        <v>10</v>
      </c>
      <c r="I91" s="8">
        <v>639.47</v>
      </c>
      <c r="J91" s="8">
        <v>0.15</v>
      </c>
      <c r="K91" s="3">
        <v>5435.5</v>
      </c>
      <c r="L91" t="s">
        <v>35</v>
      </c>
      <c r="M91" t="s">
        <v>20</v>
      </c>
      <c r="N91" s="3">
        <f>Table1[[#This Row],[Quantity]]*Table1[[#This Row],[UnitPrice]]*(1-Table1[[#This Row],[Discount]])</f>
        <v>5435.4950000000008</v>
      </c>
    </row>
    <row r="92" spans="1:14" x14ac:dyDescent="0.35">
      <c r="A92" s="8">
        <v>1265</v>
      </c>
      <c r="B92" s="2">
        <v>45812</v>
      </c>
      <c r="C92" t="s">
        <v>43</v>
      </c>
      <c r="D92" t="s">
        <v>31</v>
      </c>
      <c r="E92" t="s">
        <v>96</v>
      </c>
      <c r="F92" t="s">
        <v>24</v>
      </c>
      <c r="G92" t="s">
        <v>63</v>
      </c>
      <c r="H92" s="8">
        <v>12</v>
      </c>
      <c r="I92" s="8">
        <v>17.03</v>
      </c>
      <c r="J92" s="8">
        <v>0</v>
      </c>
      <c r="K92" s="3">
        <v>204.36</v>
      </c>
      <c r="L92" t="s">
        <v>35</v>
      </c>
      <c r="M92" t="s">
        <v>26</v>
      </c>
      <c r="N92" s="3">
        <f>Table1[[#This Row],[Quantity]]*Table1[[#This Row],[UnitPrice]]*(1-Table1[[#This Row],[Discount]])</f>
        <v>204.36</v>
      </c>
    </row>
    <row r="93" spans="1:14" x14ac:dyDescent="0.35">
      <c r="A93" s="8">
        <v>1235</v>
      </c>
      <c r="B93" s="2">
        <v>45815</v>
      </c>
      <c r="C93" t="s">
        <v>27</v>
      </c>
      <c r="D93" t="s">
        <v>47</v>
      </c>
      <c r="E93" t="s">
        <v>83</v>
      </c>
      <c r="F93" t="s">
        <v>24</v>
      </c>
      <c r="G93" t="s">
        <v>25</v>
      </c>
      <c r="H93" s="8">
        <v>2</v>
      </c>
      <c r="I93" s="8">
        <v>959.28</v>
      </c>
      <c r="J93" s="8">
        <v>0.1</v>
      </c>
      <c r="K93" s="3">
        <v>1726.7</v>
      </c>
      <c r="L93" t="s">
        <v>19</v>
      </c>
      <c r="M93" t="s">
        <v>26</v>
      </c>
      <c r="N93" s="3">
        <f>Table1[[#This Row],[Quantity]]*Table1[[#This Row],[UnitPrice]]*(1-Table1[[#This Row],[Discount]])</f>
        <v>1726.704</v>
      </c>
    </row>
    <row r="94" spans="1:14" x14ac:dyDescent="0.35">
      <c r="A94" s="8">
        <v>1002</v>
      </c>
      <c r="B94" s="2">
        <v>45817</v>
      </c>
      <c r="C94" t="s">
        <v>27</v>
      </c>
      <c r="D94" t="s">
        <v>54</v>
      </c>
      <c r="E94" t="s">
        <v>77</v>
      </c>
      <c r="F94" t="s">
        <v>24</v>
      </c>
      <c r="G94" t="s">
        <v>63</v>
      </c>
      <c r="H94" s="8">
        <v>8</v>
      </c>
      <c r="I94" s="8">
        <v>958.32</v>
      </c>
      <c r="J94" s="8">
        <v>0.15</v>
      </c>
      <c r="K94" s="3">
        <v>6516.58</v>
      </c>
      <c r="L94" t="s">
        <v>19</v>
      </c>
      <c r="M94" t="s">
        <v>26</v>
      </c>
      <c r="N94" s="3">
        <f>Table1[[#This Row],[Quantity]]*Table1[[#This Row],[UnitPrice]]*(1-Table1[[#This Row],[Discount]])</f>
        <v>6516.576</v>
      </c>
    </row>
    <row r="95" spans="1:14" x14ac:dyDescent="0.35">
      <c r="A95" s="8">
        <v>1093</v>
      </c>
      <c r="B95" s="2">
        <v>45821</v>
      </c>
      <c r="C95" t="s">
        <v>43</v>
      </c>
      <c r="D95" t="s">
        <v>47</v>
      </c>
      <c r="E95" t="s">
        <v>97</v>
      </c>
      <c r="F95" t="s">
        <v>17</v>
      </c>
      <c r="G95" t="s">
        <v>30</v>
      </c>
      <c r="H95" s="8">
        <v>8</v>
      </c>
      <c r="I95" s="8">
        <v>1154.5999999999999</v>
      </c>
      <c r="J95" s="8">
        <v>0</v>
      </c>
      <c r="K95" s="3">
        <v>9236.7999999999993</v>
      </c>
      <c r="L95" t="s">
        <v>19</v>
      </c>
      <c r="M95" t="s">
        <v>36</v>
      </c>
      <c r="N95" s="3">
        <f>Table1[[#This Row],[Quantity]]*Table1[[#This Row],[UnitPrice]]*(1-Table1[[#This Row],[Discount]])</f>
        <v>9236.7999999999993</v>
      </c>
    </row>
    <row r="96" spans="1:14" x14ac:dyDescent="0.35">
      <c r="A96" s="8">
        <v>1104</v>
      </c>
      <c r="B96" s="2">
        <v>45822</v>
      </c>
      <c r="C96" t="s">
        <v>43</v>
      </c>
      <c r="D96" t="s">
        <v>15</v>
      </c>
      <c r="E96" t="s">
        <v>98</v>
      </c>
      <c r="F96" t="s">
        <v>24</v>
      </c>
      <c r="G96" t="s">
        <v>25</v>
      </c>
      <c r="H96" s="8">
        <v>11</v>
      </c>
      <c r="I96" s="8">
        <v>440.47</v>
      </c>
      <c r="J96" s="8">
        <v>0</v>
      </c>
      <c r="K96" s="3">
        <v>4845.17</v>
      </c>
      <c r="L96" t="s">
        <v>19</v>
      </c>
      <c r="M96" t="s">
        <v>20</v>
      </c>
      <c r="N96" s="3">
        <f>Table1[[#This Row],[Quantity]]*Table1[[#This Row],[UnitPrice]]*(1-Table1[[#This Row],[Discount]])</f>
        <v>4845.17</v>
      </c>
    </row>
    <row r="97" spans="1:14" x14ac:dyDescent="0.35">
      <c r="A97" s="8">
        <v>1245</v>
      </c>
      <c r="B97" s="2">
        <v>45822</v>
      </c>
      <c r="C97" t="s">
        <v>43</v>
      </c>
      <c r="D97" t="s">
        <v>31</v>
      </c>
      <c r="E97" t="s">
        <v>76</v>
      </c>
      <c r="F97" t="s">
        <v>17</v>
      </c>
      <c r="G97" t="s">
        <v>18</v>
      </c>
      <c r="H97" s="8">
        <v>1</v>
      </c>
      <c r="I97" s="8">
        <v>501.06</v>
      </c>
      <c r="J97" s="8">
        <v>0.05</v>
      </c>
      <c r="K97" s="3">
        <v>476.01</v>
      </c>
      <c r="L97" t="s">
        <v>35</v>
      </c>
      <c r="M97" t="s">
        <v>20</v>
      </c>
      <c r="N97" s="3">
        <f>Table1[[#This Row],[Quantity]]*Table1[[#This Row],[UnitPrice]]*(1-Table1[[#This Row],[Discount]])</f>
        <v>476.00700000000001</v>
      </c>
    </row>
    <row r="98" spans="1:14" x14ac:dyDescent="0.35">
      <c r="A98" s="8">
        <v>1099</v>
      </c>
      <c r="B98" s="2">
        <v>45823</v>
      </c>
      <c r="C98" t="s">
        <v>14</v>
      </c>
      <c r="D98" t="s">
        <v>22</v>
      </c>
      <c r="E98" t="s">
        <v>99</v>
      </c>
      <c r="F98" t="s">
        <v>17</v>
      </c>
      <c r="G98" t="s">
        <v>30</v>
      </c>
      <c r="H98" s="8">
        <v>11</v>
      </c>
      <c r="I98" s="8">
        <v>1175.1300000000001</v>
      </c>
      <c r="J98" s="8">
        <v>0.1</v>
      </c>
      <c r="K98" s="3">
        <v>11633.79</v>
      </c>
      <c r="L98" t="s">
        <v>35</v>
      </c>
      <c r="M98" t="s">
        <v>26</v>
      </c>
      <c r="N98" s="3">
        <f>Table1[[#This Row],[Quantity]]*Table1[[#This Row],[UnitPrice]]*(1-Table1[[#This Row],[Discount]])</f>
        <v>11633.787</v>
      </c>
    </row>
    <row r="99" spans="1:14" x14ac:dyDescent="0.35">
      <c r="A99" s="8">
        <v>1120</v>
      </c>
      <c r="B99" s="2">
        <v>45824</v>
      </c>
      <c r="C99" t="s">
        <v>43</v>
      </c>
      <c r="D99" t="s">
        <v>28</v>
      </c>
      <c r="E99" t="s">
        <v>100</v>
      </c>
      <c r="F99" t="s">
        <v>17</v>
      </c>
      <c r="G99" t="s">
        <v>30</v>
      </c>
      <c r="H99" s="8">
        <v>3</v>
      </c>
      <c r="I99" s="8">
        <v>838.73</v>
      </c>
      <c r="J99" s="8">
        <v>0.1</v>
      </c>
      <c r="K99" s="3">
        <v>2264.5700000000002</v>
      </c>
      <c r="L99" t="s">
        <v>39</v>
      </c>
      <c r="M99" t="s">
        <v>26</v>
      </c>
      <c r="N99" s="3">
        <f>Table1[[#This Row],[Quantity]]*Table1[[#This Row],[UnitPrice]]*(1-Table1[[#This Row],[Discount]])</f>
        <v>2264.5709999999999</v>
      </c>
    </row>
    <row r="100" spans="1:14" x14ac:dyDescent="0.35">
      <c r="A100" s="8">
        <v>1185</v>
      </c>
      <c r="B100" s="2">
        <v>45826</v>
      </c>
      <c r="C100" t="s">
        <v>43</v>
      </c>
      <c r="D100" t="s">
        <v>47</v>
      </c>
      <c r="E100" t="s">
        <v>64</v>
      </c>
      <c r="F100" t="s">
        <v>33</v>
      </c>
      <c r="G100" t="s">
        <v>53</v>
      </c>
      <c r="H100" s="8">
        <v>14</v>
      </c>
      <c r="I100" s="8">
        <v>251.62</v>
      </c>
      <c r="J100" s="8">
        <v>0.15</v>
      </c>
      <c r="K100" s="3">
        <v>2994.28</v>
      </c>
      <c r="L100" t="s">
        <v>19</v>
      </c>
      <c r="M100" t="s">
        <v>26</v>
      </c>
      <c r="N100" s="3">
        <f>Table1[[#This Row],[Quantity]]*Table1[[#This Row],[UnitPrice]]*(1-Table1[[#This Row],[Discount]])</f>
        <v>2994.2780000000002</v>
      </c>
    </row>
    <row r="101" spans="1:14" x14ac:dyDescent="0.35">
      <c r="A101" s="8">
        <v>1075</v>
      </c>
      <c r="B101" s="2">
        <v>45831</v>
      </c>
      <c r="C101" t="s">
        <v>14</v>
      </c>
      <c r="D101" t="s">
        <v>47</v>
      </c>
      <c r="E101" t="s">
        <v>92</v>
      </c>
      <c r="F101" t="s">
        <v>24</v>
      </c>
      <c r="G101" t="s">
        <v>25</v>
      </c>
      <c r="H101" s="8">
        <v>1</v>
      </c>
      <c r="I101" s="8">
        <v>635.97</v>
      </c>
      <c r="J101" s="8">
        <v>0.15</v>
      </c>
      <c r="K101" s="3">
        <v>540.57000000000005</v>
      </c>
      <c r="L101" t="s">
        <v>35</v>
      </c>
      <c r="M101" t="s">
        <v>20</v>
      </c>
      <c r="N101" s="3">
        <f>Table1[[#This Row],[Quantity]]*Table1[[#This Row],[UnitPrice]]*(1-Table1[[#This Row],[Discount]])</f>
        <v>540.57450000000006</v>
      </c>
    </row>
    <row r="102" spans="1:14" x14ac:dyDescent="0.35">
      <c r="A102" s="8">
        <v>1212</v>
      </c>
      <c r="B102" s="2">
        <v>45834</v>
      </c>
      <c r="C102" t="s">
        <v>21</v>
      </c>
      <c r="D102" t="s">
        <v>15</v>
      </c>
      <c r="E102" t="s">
        <v>101</v>
      </c>
      <c r="F102" t="s">
        <v>17</v>
      </c>
      <c r="G102" t="s">
        <v>46</v>
      </c>
      <c r="H102" s="8">
        <v>9</v>
      </c>
      <c r="I102" s="8">
        <v>237.52</v>
      </c>
      <c r="J102" s="8">
        <v>0.1</v>
      </c>
      <c r="K102" s="3">
        <v>1923.91</v>
      </c>
      <c r="L102" t="s">
        <v>35</v>
      </c>
      <c r="M102" t="s">
        <v>20</v>
      </c>
      <c r="N102" s="3">
        <f>Table1[[#This Row],[Quantity]]*Table1[[#This Row],[UnitPrice]]*(1-Table1[[#This Row],[Discount]])</f>
        <v>1923.9120000000003</v>
      </c>
    </row>
    <row r="103" spans="1:14" x14ac:dyDescent="0.35">
      <c r="A103" s="8">
        <v>1091</v>
      </c>
      <c r="B103" s="2">
        <v>45842</v>
      </c>
      <c r="C103" t="s">
        <v>43</v>
      </c>
      <c r="D103" t="s">
        <v>54</v>
      </c>
      <c r="E103" t="s">
        <v>102</v>
      </c>
      <c r="F103" t="s">
        <v>17</v>
      </c>
      <c r="G103" t="s">
        <v>46</v>
      </c>
      <c r="H103" s="8">
        <v>10</v>
      </c>
      <c r="I103" s="8">
        <v>217.83</v>
      </c>
      <c r="J103" s="8">
        <v>0.05</v>
      </c>
      <c r="K103" s="3">
        <v>2069.39</v>
      </c>
      <c r="L103" t="s">
        <v>39</v>
      </c>
      <c r="M103" t="s">
        <v>20</v>
      </c>
      <c r="N103" s="3">
        <f>Table1[[#This Row],[Quantity]]*Table1[[#This Row],[UnitPrice]]*(1-Table1[[#This Row],[Discount]])</f>
        <v>2069.3850000000002</v>
      </c>
    </row>
    <row r="104" spans="1:14" x14ac:dyDescent="0.35">
      <c r="A104" s="8">
        <v>1203</v>
      </c>
      <c r="B104" s="2">
        <v>45843</v>
      </c>
      <c r="C104" t="s">
        <v>27</v>
      </c>
      <c r="D104" t="s">
        <v>15</v>
      </c>
      <c r="E104" t="s">
        <v>95</v>
      </c>
      <c r="F104" t="s">
        <v>24</v>
      </c>
      <c r="G104" t="s">
        <v>38</v>
      </c>
      <c r="H104" s="8">
        <v>3</v>
      </c>
      <c r="I104" s="8">
        <v>872.67</v>
      </c>
      <c r="J104" s="8">
        <v>0.15</v>
      </c>
      <c r="K104" s="3">
        <v>2225.31</v>
      </c>
      <c r="L104" t="s">
        <v>39</v>
      </c>
      <c r="M104" t="s">
        <v>36</v>
      </c>
      <c r="N104" s="3">
        <f>Table1[[#This Row],[Quantity]]*Table1[[#This Row],[UnitPrice]]*(1-Table1[[#This Row],[Discount]])</f>
        <v>2225.3084999999996</v>
      </c>
    </row>
    <row r="105" spans="1:14" x14ac:dyDescent="0.35">
      <c r="A105" s="8">
        <v>1168</v>
      </c>
      <c r="B105" s="2">
        <v>45846</v>
      </c>
      <c r="C105" t="s">
        <v>43</v>
      </c>
      <c r="D105" t="s">
        <v>28</v>
      </c>
      <c r="E105" t="s">
        <v>64</v>
      </c>
      <c r="F105" t="s">
        <v>17</v>
      </c>
      <c r="G105" t="s">
        <v>46</v>
      </c>
      <c r="H105" s="8">
        <v>10</v>
      </c>
      <c r="I105" s="8">
        <v>88.83</v>
      </c>
      <c r="J105" s="8">
        <v>0</v>
      </c>
      <c r="K105" s="3">
        <v>888.3</v>
      </c>
      <c r="L105" t="s">
        <v>39</v>
      </c>
      <c r="M105" t="s">
        <v>20</v>
      </c>
      <c r="N105" s="3">
        <f>Table1[[#This Row],[Quantity]]*Table1[[#This Row],[UnitPrice]]*(1-Table1[[#This Row],[Discount]])</f>
        <v>888.3</v>
      </c>
    </row>
    <row r="106" spans="1:14" x14ac:dyDescent="0.35">
      <c r="A106" s="8">
        <v>1231</v>
      </c>
      <c r="B106" s="2">
        <v>45847</v>
      </c>
      <c r="C106" t="s">
        <v>27</v>
      </c>
      <c r="D106" t="s">
        <v>15</v>
      </c>
      <c r="E106" t="s">
        <v>49</v>
      </c>
      <c r="F106" t="s">
        <v>24</v>
      </c>
      <c r="G106" t="s">
        <v>25</v>
      </c>
      <c r="H106" s="8">
        <v>2</v>
      </c>
      <c r="I106" s="8">
        <v>861.52</v>
      </c>
      <c r="J106" s="8">
        <v>0.15</v>
      </c>
      <c r="K106" s="3">
        <v>1464.58</v>
      </c>
      <c r="L106" t="s">
        <v>39</v>
      </c>
      <c r="M106" t="s">
        <v>36</v>
      </c>
      <c r="N106" s="3">
        <f>Table1[[#This Row],[Quantity]]*Table1[[#This Row],[UnitPrice]]*(1-Table1[[#This Row],[Discount]])</f>
        <v>1464.5839999999998</v>
      </c>
    </row>
    <row r="107" spans="1:14" x14ac:dyDescent="0.35">
      <c r="A107" s="8">
        <v>1030</v>
      </c>
      <c r="B107" s="2">
        <v>45849</v>
      </c>
      <c r="C107" t="s">
        <v>43</v>
      </c>
      <c r="D107" t="s">
        <v>22</v>
      </c>
      <c r="E107" t="s">
        <v>103</v>
      </c>
      <c r="F107" t="s">
        <v>17</v>
      </c>
      <c r="G107" t="s">
        <v>46</v>
      </c>
      <c r="H107" s="8">
        <v>2</v>
      </c>
      <c r="I107" s="8">
        <v>133.96</v>
      </c>
      <c r="J107" s="8">
        <v>0.15</v>
      </c>
      <c r="K107" s="3">
        <v>227.73</v>
      </c>
      <c r="L107" t="s">
        <v>35</v>
      </c>
      <c r="M107" t="s">
        <v>36</v>
      </c>
      <c r="N107" s="3">
        <f>Table1[[#This Row],[Quantity]]*Table1[[#This Row],[UnitPrice]]*(1-Table1[[#This Row],[Discount]])</f>
        <v>227.732</v>
      </c>
    </row>
    <row r="108" spans="1:14" x14ac:dyDescent="0.35">
      <c r="A108" s="8">
        <v>1108</v>
      </c>
      <c r="B108" s="2">
        <v>45849</v>
      </c>
      <c r="C108" t="s">
        <v>14</v>
      </c>
      <c r="D108" t="s">
        <v>54</v>
      </c>
      <c r="E108" t="s">
        <v>100</v>
      </c>
      <c r="F108" t="s">
        <v>17</v>
      </c>
      <c r="G108" t="s">
        <v>18</v>
      </c>
      <c r="H108" s="8">
        <v>6</v>
      </c>
      <c r="I108" s="8">
        <v>218.18</v>
      </c>
      <c r="J108" s="8">
        <v>0.05</v>
      </c>
      <c r="K108" s="3">
        <v>1243.6300000000001</v>
      </c>
      <c r="L108" t="s">
        <v>19</v>
      </c>
      <c r="M108" t="s">
        <v>26</v>
      </c>
      <c r="N108" s="3">
        <f>Table1[[#This Row],[Quantity]]*Table1[[#This Row],[UnitPrice]]*(1-Table1[[#This Row],[Discount]])</f>
        <v>1243.626</v>
      </c>
    </row>
    <row r="109" spans="1:14" x14ac:dyDescent="0.35">
      <c r="A109" s="8">
        <v>1240</v>
      </c>
      <c r="B109" s="2">
        <v>45850</v>
      </c>
      <c r="C109" t="s">
        <v>43</v>
      </c>
      <c r="D109" t="s">
        <v>28</v>
      </c>
      <c r="E109" t="s">
        <v>32</v>
      </c>
      <c r="F109" t="s">
        <v>17</v>
      </c>
      <c r="G109" t="s">
        <v>46</v>
      </c>
      <c r="H109" s="8">
        <v>9</v>
      </c>
      <c r="I109" s="8">
        <v>904.81</v>
      </c>
      <c r="J109" s="8">
        <v>0.05</v>
      </c>
      <c r="K109" s="3">
        <v>7736.13</v>
      </c>
      <c r="L109" t="s">
        <v>35</v>
      </c>
      <c r="M109" t="s">
        <v>26</v>
      </c>
      <c r="N109" s="3">
        <f>Table1[[#This Row],[Quantity]]*Table1[[#This Row],[UnitPrice]]*(1-Table1[[#This Row],[Discount]])</f>
        <v>7736.1254999999992</v>
      </c>
    </row>
    <row r="110" spans="1:14" x14ac:dyDescent="0.35">
      <c r="A110" s="8">
        <v>1172</v>
      </c>
      <c r="B110" s="2">
        <v>45852</v>
      </c>
      <c r="C110" t="s">
        <v>27</v>
      </c>
      <c r="D110" t="s">
        <v>22</v>
      </c>
      <c r="E110" t="s">
        <v>65</v>
      </c>
      <c r="F110" t="s">
        <v>33</v>
      </c>
      <c r="G110" t="s">
        <v>61</v>
      </c>
      <c r="H110" s="8">
        <v>6</v>
      </c>
      <c r="I110" s="8">
        <v>373.19</v>
      </c>
      <c r="J110" s="8">
        <v>0</v>
      </c>
      <c r="K110" s="3">
        <v>2239.14</v>
      </c>
      <c r="L110" t="s">
        <v>19</v>
      </c>
      <c r="M110" t="s">
        <v>36</v>
      </c>
      <c r="N110" s="3">
        <f>Table1[[#This Row],[Quantity]]*Table1[[#This Row],[UnitPrice]]*(1-Table1[[#This Row],[Discount]])</f>
        <v>2239.14</v>
      </c>
    </row>
    <row r="111" spans="1:14" x14ac:dyDescent="0.35">
      <c r="A111" s="8">
        <v>1201</v>
      </c>
      <c r="B111" s="2">
        <v>45852</v>
      </c>
      <c r="C111" t="s">
        <v>27</v>
      </c>
      <c r="D111" t="s">
        <v>22</v>
      </c>
      <c r="E111" t="s">
        <v>75</v>
      </c>
      <c r="F111" t="s">
        <v>24</v>
      </c>
      <c r="G111" t="s">
        <v>63</v>
      </c>
      <c r="H111" s="8">
        <v>7</v>
      </c>
      <c r="I111" s="8">
        <v>143.31</v>
      </c>
      <c r="J111" s="8">
        <v>0.1</v>
      </c>
      <c r="K111" s="3">
        <v>902.85</v>
      </c>
      <c r="L111" t="s">
        <v>19</v>
      </c>
      <c r="M111" t="s">
        <v>20</v>
      </c>
      <c r="N111" s="3">
        <f>Table1[[#This Row],[Quantity]]*Table1[[#This Row],[UnitPrice]]*(1-Table1[[#This Row],[Discount]])</f>
        <v>902.85300000000007</v>
      </c>
    </row>
    <row r="112" spans="1:14" x14ac:dyDescent="0.35">
      <c r="A112" s="8">
        <v>1086</v>
      </c>
      <c r="B112" s="2">
        <v>45857</v>
      </c>
      <c r="C112" t="s">
        <v>27</v>
      </c>
      <c r="D112" t="s">
        <v>15</v>
      </c>
      <c r="E112" t="s">
        <v>77</v>
      </c>
      <c r="F112" t="s">
        <v>17</v>
      </c>
      <c r="G112" t="s">
        <v>18</v>
      </c>
      <c r="H112" s="8">
        <v>13</v>
      </c>
      <c r="I112" s="8">
        <v>1182.2</v>
      </c>
      <c r="J112" s="8">
        <v>0.15</v>
      </c>
      <c r="K112" s="3">
        <v>13063.31</v>
      </c>
      <c r="L112" t="s">
        <v>39</v>
      </c>
      <c r="M112" t="s">
        <v>26</v>
      </c>
      <c r="N112" s="3">
        <f>Table1[[#This Row],[Quantity]]*Table1[[#This Row],[UnitPrice]]*(1-Table1[[#This Row],[Discount]])</f>
        <v>13063.31</v>
      </c>
    </row>
    <row r="113" spans="1:14" x14ac:dyDescent="0.35">
      <c r="A113" s="8">
        <v>1072</v>
      </c>
      <c r="B113" s="2">
        <v>45858</v>
      </c>
      <c r="C113" t="s">
        <v>43</v>
      </c>
      <c r="D113" t="s">
        <v>22</v>
      </c>
      <c r="E113" t="s">
        <v>81</v>
      </c>
      <c r="F113" t="s">
        <v>24</v>
      </c>
      <c r="G113" t="s">
        <v>25</v>
      </c>
      <c r="H113" s="8">
        <v>2</v>
      </c>
      <c r="I113" s="8">
        <v>680.25</v>
      </c>
      <c r="J113" s="8">
        <v>0.05</v>
      </c>
      <c r="K113" s="3">
        <v>1292.47</v>
      </c>
      <c r="L113" t="s">
        <v>19</v>
      </c>
      <c r="M113" t="s">
        <v>36</v>
      </c>
      <c r="N113" s="3">
        <f>Table1[[#This Row],[Quantity]]*Table1[[#This Row],[UnitPrice]]*(1-Table1[[#This Row],[Discount]])</f>
        <v>1292.4749999999999</v>
      </c>
    </row>
    <row r="114" spans="1:14" x14ac:dyDescent="0.35">
      <c r="A114" s="8">
        <v>1066</v>
      </c>
      <c r="B114" s="2">
        <v>45861</v>
      </c>
      <c r="C114" t="s">
        <v>21</v>
      </c>
      <c r="D114" t="s">
        <v>31</v>
      </c>
      <c r="E114" t="s">
        <v>69</v>
      </c>
      <c r="F114" t="s">
        <v>33</v>
      </c>
      <c r="G114" t="s">
        <v>61</v>
      </c>
      <c r="H114" s="8">
        <v>4</v>
      </c>
      <c r="I114" s="8">
        <v>234.87</v>
      </c>
      <c r="J114" s="8">
        <v>0</v>
      </c>
      <c r="K114" s="3">
        <v>939.48</v>
      </c>
      <c r="L114" t="s">
        <v>19</v>
      </c>
      <c r="M114" t="s">
        <v>36</v>
      </c>
      <c r="N114" s="3">
        <f>Table1[[#This Row],[Quantity]]*Table1[[#This Row],[UnitPrice]]*(1-Table1[[#This Row],[Discount]])</f>
        <v>939.48</v>
      </c>
    </row>
    <row r="115" spans="1:14" x14ac:dyDescent="0.35">
      <c r="A115" s="8">
        <v>1298</v>
      </c>
      <c r="B115" s="2">
        <v>45861</v>
      </c>
      <c r="C115" t="s">
        <v>21</v>
      </c>
      <c r="D115" t="s">
        <v>22</v>
      </c>
      <c r="E115" t="s">
        <v>72</v>
      </c>
      <c r="F115" t="s">
        <v>33</v>
      </c>
      <c r="G115" t="s">
        <v>61</v>
      </c>
      <c r="H115" s="8">
        <v>8</v>
      </c>
      <c r="I115" s="8">
        <v>252.2</v>
      </c>
      <c r="J115" s="8">
        <v>0</v>
      </c>
      <c r="K115" s="3">
        <v>2017.6</v>
      </c>
      <c r="L115" t="s">
        <v>35</v>
      </c>
      <c r="M115" t="s">
        <v>20</v>
      </c>
      <c r="N115" s="3">
        <f>Table1[[#This Row],[Quantity]]*Table1[[#This Row],[UnitPrice]]*(1-Table1[[#This Row],[Discount]])</f>
        <v>2017.6</v>
      </c>
    </row>
    <row r="116" spans="1:14" x14ac:dyDescent="0.35">
      <c r="A116" s="8">
        <v>1036</v>
      </c>
      <c r="B116" s="2">
        <v>45862</v>
      </c>
      <c r="C116" t="s">
        <v>14</v>
      </c>
      <c r="D116" t="s">
        <v>31</v>
      </c>
      <c r="E116" t="s">
        <v>99</v>
      </c>
      <c r="F116" t="s">
        <v>17</v>
      </c>
      <c r="G116" t="s">
        <v>46</v>
      </c>
      <c r="H116" s="8">
        <v>15</v>
      </c>
      <c r="I116" s="8">
        <v>523.6</v>
      </c>
      <c r="J116" s="8">
        <v>0.05</v>
      </c>
      <c r="K116" s="3">
        <v>7461.3</v>
      </c>
      <c r="L116" t="s">
        <v>35</v>
      </c>
      <c r="M116" t="s">
        <v>20</v>
      </c>
      <c r="N116" s="3">
        <f>Table1[[#This Row],[Quantity]]*Table1[[#This Row],[UnitPrice]]*(1-Table1[[#This Row],[Discount]])</f>
        <v>7461.2999999999993</v>
      </c>
    </row>
    <row r="117" spans="1:14" x14ac:dyDescent="0.35">
      <c r="A117" s="8">
        <v>1037</v>
      </c>
      <c r="B117" s="2">
        <v>45864</v>
      </c>
      <c r="C117" t="s">
        <v>21</v>
      </c>
      <c r="D117" t="s">
        <v>28</v>
      </c>
      <c r="E117" t="s">
        <v>104</v>
      </c>
      <c r="F117" t="s">
        <v>33</v>
      </c>
      <c r="G117" t="s">
        <v>34</v>
      </c>
      <c r="H117" s="8">
        <v>12</v>
      </c>
      <c r="I117" s="8">
        <v>922.9</v>
      </c>
      <c r="J117" s="8">
        <v>0.15</v>
      </c>
      <c r="K117" s="3">
        <v>9413.58</v>
      </c>
      <c r="L117" t="s">
        <v>35</v>
      </c>
      <c r="M117" t="s">
        <v>26</v>
      </c>
      <c r="N117" s="3">
        <f>Table1[[#This Row],[Quantity]]*Table1[[#This Row],[UnitPrice]]*(1-Table1[[#This Row],[Discount]])</f>
        <v>9413.58</v>
      </c>
    </row>
    <row r="118" spans="1:14" x14ac:dyDescent="0.35">
      <c r="A118" s="8">
        <v>1062</v>
      </c>
      <c r="B118" s="2">
        <v>45864</v>
      </c>
      <c r="C118" t="s">
        <v>43</v>
      </c>
      <c r="D118" t="s">
        <v>15</v>
      </c>
      <c r="E118" t="s">
        <v>79</v>
      </c>
      <c r="F118" t="s">
        <v>24</v>
      </c>
      <c r="G118" t="s">
        <v>38</v>
      </c>
      <c r="H118" s="8">
        <v>11</v>
      </c>
      <c r="I118" s="8">
        <v>348.91</v>
      </c>
      <c r="J118" s="8">
        <v>0.1</v>
      </c>
      <c r="K118" s="3">
        <v>3454.21</v>
      </c>
      <c r="L118" t="s">
        <v>39</v>
      </c>
      <c r="M118" t="s">
        <v>36</v>
      </c>
      <c r="N118" s="3">
        <f>Table1[[#This Row],[Quantity]]*Table1[[#This Row],[UnitPrice]]*(1-Table1[[#This Row],[Discount]])</f>
        <v>3454.2090000000003</v>
      </c>
    </row>
    <row r="119" spans="1:14" x14ac:dyDescent="0.35">
      <c r="A119" s="8">
        <v>1219</v>
      </c>
      <c r="B119" s="2">
        <v>45866</v>
      </c>
      <c r="C119" t="s">
        <v>43</v>
      </c>
      <c r="D119" t="s">
        <v>28</v>
      </c>
      <c r="E119" t="s">
        <v>87</v>
      </c>
      <c r="F119" t="s">
        <v>17</v>
      </c>
      <c r="G119" t="s">
        <v>30</v>
      </c>
      <c r="H119" s="8">
        <v>10</v>
      </c>
      <c r="I119" s="8">
        <v>364.63</v>
      </c>
      <c r="J119" s="8">
        <v>0.1</v>
      </c>
      <c r="K119" s="3">
        <v>3281.67</v>
      </c>
      <c r="L119" t="s">
        <v>19</v>
      </c>
      <c r="M119" t="s">
        <v>36</v>
      </c>
      <c r="N119" s="3">
        <f>Table1[[#This Row],[Quantity]]*Table1[[#This Row],[UnitPrice]]*(1-Table1[[#This Row],[Discount]])</f>
        <v>3281.67</v>
      </c>
    </row>
    <row r="120" spans="1:14" x14ac:dyDescent="0.35">
      <c r="A120" s="8">
        <v>1064</v>
      </c>
      <c r="B120" s="2">
        <v>45867</v>
      </c>
      <c r="C120" t="s">
        <v>43</v>
      </c>
      <c r="D120" t="s">
        <v>22</v>
      </c>
      <c r="E120" t="s">
        <v>98</v>
      </c>
      <c r="F120" t="s">
        <v>17</v>
      </c>
      <c r="G120" t="s">
        <v>30</v>
      </c>
      <c r="H120" s="8">
        <v>11</v>
      </c>
      <c r="I120" s="8">
        <v>270.94</v>
      </c>
      <c r="J120" s="8">
        <v>0.1</v>
      </c>
      <c r="K120" s="3">
        <v>2682.31</v>
      </c>
      <c r="L120" t="s">
        <v>19</v>
      </c>
      <c r="M120" t="s">
        <v>20</v>
      </c>
      <c r="N120" s="3">
        <f>Table1[[#This Row],[Quantity]]*Table1[[#This Row],[UnitPrice]]*(1-Table1[[#This Row],[Discount]])</f>
        <v>2682.306</v>
      </c>
    </row>
    <row r="121" spans="1:14" x14ac:dyDescent="0.35">
      <c r="A121" s="8">
        <v>1193</v>
      </c>
      <c r="B121" s="2">
        <v>45869</v>
      </c>
      <c r="C121" t="s">
        <v>43</v>
      </c>
      <c r="D121" t="s">
        <v>28</v>
      </c>
      <c r="E121" t="s">
        <v>79</v>
      </c>
      <c r="F121" t="s">
        <v>24</v>
      </c>
      <c r="G121" t="s">
        <v>25</v>
      </c>
      <c r="H121" s="8">
        <v>11</v>
      </c>
      <c r="I121" s="8">
        <v>1158.05</v>
      </c>
      <c r="J121" s="8">
        <v>0</v>
      </c>
      <c r="K121" s="3">
        <v>12738.55</v>
      </c>
      <c r="L121" t="s">
        <v>19</v>
      </c>
      <c r="M121" t="s">
        <v>36</v>
      </c>
      <c r="N121" s="3">
        <f>Table1[[#This Row],[Quantity]]*Table1[[#This Row],[UnitPrice]]*(1-Table1[[#This Row],[Discount]])</f>
        <v>12738.55</v>
      </c>
    </row>
    <row r="122" spans="1:14" x14ac:dyDescent="0.35">
      <c r="A122" s="8">
        <v>1287</v>
      </c>
      <c r="B122" s="2">
        <v>45871</v>
      </c>
      <c r="C122" t="s">
        <v>27</v>
      </c>
      <c r="D122" t="s">
        <v>47</v>
      </c>
      <c r="E122" t="s">
        <v>64</v>
      </c>
      <c r="F122" t="s">
        <v>24</v>
      </c>
      <c r="G122" t="s">
        <v>25</v>
      </c>
      <c r="H122" s="8">
        <v>15</v>
      </c>
      <c r="I122" s="8">
        <v>265.45999999999998</v>
      </c>
      <c r="J122" s="8">
        <v>0.15</v>
      </c>
      <c r="K122" s="3">
        <v>3384.61</v>
      </c>
      <c r="L122" t="s">
        <v>19</v>
      </c>
      <c r="M122" t="s">
        <v>26</v>
      </c>
      <c r="N122" s="3">
        <f>Table1[[#This Row],[Quantity]]*Table1[[#This Row],[UnitPrice]]*(1-Table1[[#This Row],[Discount]])</f>
        <v>3384.6149999999998</v>
      </c>
    </row>
    <row r="123" spans="1:14" x14ac:dyDescent="0.35">
      <c r="A123" s="8">
        <v>1045</v>
      </c>
      <c r="B123" s="2">
        <v>45872</v>
      </c>
      <c r="C123" t="s">
        <v>14</v>
      </c>
      <c r="D123" t="s">
        <v>15</v>
      </c>
      <c r="E123" t="s">
        <v>90</v>
      </c>
      <c r="F123" t="s">
        <v>17</v>
      </c>
      <c r="G123" t="s">
        <v>30</v>
      </c>
      <c r="H123" s="8">
        <v>3</v>
      </c>
      <c r="I123" s="8">
        <v>806.63</v>
      </c>
      <c r="J123" s="8">
        <v>0.15</v>
      </c>
      <c r="K123" s="3">
        <v>2056.91</v>
      </c>
      <c r="L123" t="s">
        <v>39</v>
      </c>
      <c r="M123" t="s">
        <v>36</v>
      </c>
      <c r="N123" s="3">
        <f>Table1[[#This Row],[Quantity]]*Table1[[#This Row],[UnitPrice]]*(1-Table1[[#This Row],[Discount]])</f>
        <v>2056.9065000000001</v>
      </c>
    </row>
    <row r="124" spans="1:14" x14ac:dyDescent="0.35">
      <c r="A124" s="8">
        <v>1019</v>
      </c>
      <c r="B124" s="2">
        <v>45874</v>
      </c>
      <c r="C124" t="s">
        <v>21</v>
      </c>
      <c r="D124" t="s">
        <v>22</v>
      </c>
      <c r="E124" t="s">
        <v>66</v>
      </c>
      <c r="F124" t="s">
        <v>105</v>
      </c>
      <c r="G124" t="s">
        <v>63</v>
      </c>
      <c r="H124" s="8">
        <v>15</v>
      </c>
      <c r="I124" s="8">
        <v>196.38</v>
      </c>
      <c r="J124" s="8">
        <v>0.05</v>
      </c>
      <c r="K124" s="3">
        <v>2798.41</v>
      </c>
      <c r="L124" t="s">
        <v>39</v>
      </c>
      <c r="M124" t="s">
        <v>26</v>
      </c>
      <c r="N124" s="3">
        <f>Table1[[#This Row],[Quantity]]*Table1[[#This Row],[UnitPrice]]*(1-Table1[[#This Row],[Discount]])</f>
        <v>2798.4149999999995</v>
      </c>
    </row>
    <row r="125" spans="1:14" x14ac:dyDescent="0.35">
      <c r="A125" s="8">
        <v>1021</v>
      </c>
      <c r="B125" s="2">
        <v>45875</v>
      </c>
      <c r="C125" t="s">
        <v>14</v>
      </c>
      <c r="D125" t="s">
        <v>31</v>
      </c>
      <c r="E125" t="s">
        <v>16</v>
      </c>
      <c r="F125" t="s">
        <v>17</v>
      </c>
      <c r="G125" t="s">
        <v>30</v>
      </c>
      <c r="H125" s="8">
        <v>4</v>
      </c>
      <c r="I125" s="8">
        <v>13.57</v>
      </c>
      <c r="J125" s="8">
        <v>0.15</v>
      </c>
      <c r="K125" s="3">
        <v>46.14</v>
      </c>
      <c r="L125" t="s">
        <v>19</v>
      </c>
      <c r="M125" t="s">
        <v>20</v>
      </c>
      <c r="N125" s="3">
        <f>Table1[[#This Row],[Quantity]]*Table1[[#This Row],[UnitPrice]]*(1-Table1[[#This Row],[Discount]])</f>
        <v>46.137999999999998</v>
      </c>
    </row>
    <row r="126" spans="1:14" x14ac:dyDescent="0.35">
      <c r="A126" s="8">
        <v>1156</v>
      </c>
      <c r="B126" s="2">
        <v>45875</v>
      </c>
      <c r="C126" t="s">
        <v>21</v>
      </c>
      <c r="D126" t="s">
        <v>47</v>
      </c>
      <c r="E126" t="s">
        <v>79</v>
      </c>
      <c r="F126" t="s">
        <v>33</v>
      </c>
      <c r="G126" t="s">
        <v>53</v>
      </c>
      <c r="H126" s="8">
        <v>9</v>
      </c>
      <c r="I126" s="8">
        <v>227.95</v>
      </c>
      <c r="J126" s="8">
        <v>0</v>
      </c>
      <c r="K126" s="3">
        <v>2051.5500000000002</v>
      </c>
      <c r="L126" t="s">
        <v>19</v>
      </c>
      <c r="M126" t="s">
        <v>20</v>
      </c>
      <c r="N126" s="3">
        <f>Table1[[#This Row],[Quantity]]*Table1[[#This Row],[UnitPrice]]*(1-Table1[[#This Row],[Discount]])</f>
        <v>2051.5499999999997</v>
      </c>
    </row>
    <row r="127" spans="1:14" x14ac:dyDescent="0.35">
      <c r="A127" s="8">
        <v>1285</v>
      </c>
      <c r="B127" s="2">
        <v>45875</v>
      </c>
      <c r="C127" t="s">
        <v>43</v>
      </c>
      <c r="D127" t="s">
        <v>47</v>
      </c>
      <c r="E127" t="s">
        <v>100</v>
      </c>
      <c r="F127" t="s">
        <v>24</v>
      </c>
      <c r="G127" t="s">
        <v>38</v>
      </c>
      <c r="H127" s="8">
        <v>9</v>
      </c>
      <c r="I127" s="8">
        <v>215.53</v>
      </c>
      <c r="J127" s="8">
        <v>0.05</v>
      </c>
      <c r="K127" s="3">
        <v>1842.78</v>
      </c>
      <c r="L127" t="s">
        <v>19</v>
      </c>
      <c r="M127" t="s">
        <v>26</v>
      </c>
      <c r="N127" s="3">
        <f>Table1[[#This Row],[Quantity]]*Table1[[#This Row],[UnitPrice]]*(1-Table1[[#This Row],[Discount]])</f>
        <v>1842.7814999999998</v>
      </c>
    </row>
    <row r="128" spans="1:14" x14ac:dyDescent="0.35">
      <c r="A128" s="8">
        <v>1111</v>
      </c>
      <c r="B128" s="2">
        <v>45876</v>
      </c>
      <c r="C128" t="s">
        <v>21</v>
      </c>
      <c r="D128" t="s">
        <v>22</v>
      </c>
      <c r="E128" t="s">
        <v>96</v>
      </c>
      <c r="F128" t="s">
        <v>24</v>
      </c>
      <c r="G128" t="s">
        <v>63</v>
      </c>
      <c r="H128" s="8">
        <v>11</v>
      </c>
      <c r="I128" s="8">
        <v>520.44000000000005</v>
      </c>
      <c r="J128" s="8">
        <v>0</v>
      </c>
      <c r="K128" s="3">
        <v>5724.84</v>
      </c>
      <c r="L128" t="s">
        <v>39</v>
      </c>
      <c r="M128" t="s">
        <v>26</v>
      </c>
      <c r="N128" s="3">
        <f>Table1[[#This Row],[Quantity]]*Table1[[#This Row],[UnitPrice]]*(1-Table1[[#This Row],[Discount]])</f>
        <v>5724.84</v>
      </c>
    </row>
    <row r="129" spans="1:14" x14ac:dyDescent="0.35">
      <c r="A129" s="8">
        <v>1250</v>
      </c>
      <c r="B129" s="2">
        <v>45878</v>
      </c>
      <c r="C129" t="s">
        <v>14</v>
      </c>
      <c r="D129" t="s">
        <v>47</v>
      </c>
      <c r="E129" t="s">
        <v>95</v>
      </c>
      <c r="F129" t="s">
        <v>17</v>
      </c>
      <c r="G129" t="s">
        <v>30</v>
      </c>
      <c r="H129" s="8">
        <v>5</v>
      </c>
      <c r="I129" s="8">
        <v>527.46</v>
      </c>
      <c r="J129" s="8">
        <v>0.05</v>
      </c>
      <c r="K129" s="3">
        <v>2505.4299999999998</v>
      </c>
      <c r="L129" t="s">
        <v>35</v>
      </c>
      <c r="M129" t="s">
        <v>36</v>
      </c>
      <c r="N129" s="3">
        <f>Table1[[#This Row],[Quantity]]*Table1[[#This Row],[UnitPrice]]*(1-Table1[[#This Row],[Discount]])</f>
        <v>2505.4349999999999</v>
      </c>
    </row>
    <row r="130" spans="1:14" x14ac:dyDescent="0.35">
      <c r="A130" s="8">
        <v>1132</v>
      </c>
      <c r="B130" s="2">
        <v>45879</v>
      </c>
      <c r="C130" t="s">
        <v>21</v>
      </c>
      <c r="D130" t="s">
        <v>22</v>
      </c>
      <c r="E130" t="s">
        <v>106</v>
      </c>
      <c r="F130" t="s">
        <v>24</v>
      </c>
      <c r="G130" t="s">
        <v>38</v>
      </c>
      <c r="H130" s="8">
        <v>10</v>
      </c>
      <c r="I130" s="8">
        <v>16.64</v>
      </c>
      <c r="J130" s="8">
        <v>0.15</v>
      </c>
      <c r="K130" s="3">
        <v>141.44</v>
      </c>
      <c r="L130" t="s">
        <v>35</v>
      </c>
      <c r="M130" t="s">
        <v>20</v>
      </c>
      <c r="N130" s="3">
        <f>Table1[[#This Row],[Quantity]]*Table1[[#This Row],[UnitPrice]]*(1-Table1[[#This Row],[Discount]])</f>
        <v>141.44</v>
      </c>
    </row>
    <row r="131" spans="1:14" x14ac:dyDescent="0.35">
      <c r="A131" s="8">
        <v>1114</v>
      </c>
      <c r="B131" s="2">
        <v>45881</v>
      </c>
      <c r="C131" t="s">
        <v>43</v>
      </c>
      <c r="D131" t="s">
        <v>22</v>
      </c>
      <c r="E131" t="s">
        <v>64</v>
      </c>
      <c r="F131" t="s">
        <v>24</v>
      </c>
      <c r="G131" t="s">
        <v>38</v>
      </c>
      <c r="H131" s="8">
        <v>13</v>
      </c>
      <c r="I131" s="8">
        <v>822.77</v>
      </c>
      <c r="J131" s="8">
        <v>0.1</v>
      </c>
      <c r="K131" s="3">
        <v>9626.41</v>
      </c>
      <c r="L131" t="s">
        <v>35</v>
      </c>
      <c r="M131" t="s">
        <v>20</v>
      </c>
      <c r="N131" s="3">
        <f>Table1[[#This Row],[Quantity]]*Table1[[#This Row],[UnitPrice]]*(1-Table1[[#This Row],[Discount]])</f>
        <v>9626.4089999999997</v>
      </c>
    </row>
    <row r="132" spans="1:14" x14ac:dyDescent="0.35">
      <c r="A132" s="8">
        <v>1218</v>
      </c>
      <c r="B132" s="2">
        <v>45889</v>
      </c>
      <c r="C132" t="s">
        <v>21</v>
      </c>
      <c r="D132" t="s">
        <v>28</v>
      </c>
      <c r="E132" t="s">
        <v>107</v>
      </c>
      <c r="F132" t="s">
        <v>17</v>
      </c>
      <c r="G132" t="s">
        <v>30</v>
      </c>
      <c r="H132" s="8">
        <v>12</v>
      </c>
      <c r="I132" s="8">
        <v>1039.67</v>
      </c>
      <c r="J132" s="8">
        <v>0.15</v>
      </c>
      <c r="K132" s="3">
        <v>10604.63</v>
      </c>
      <c r="L132" t="s">
        <v>39</v>
      </c>
      <c r="M132" t="s">
        <v>26</v>
      </c>
      <c r="N132" s="3">
        <f>Table1[[#This Row],[Quantity]]*Table1[[#This Row],[UnitPrice]]*(1-Table1[[#This Row],[Discount]])</f>
        <v>10604.634</v>
      </c>
    </row>
    <row r="133" spans="1:14" x14ac:dyDescent="0.35">
      <c r="A133" s="8">
        <v>1073</v>
      </c>
      <c r="B133" s="2">
        <v>45891</v>
      </c>
      <c r="C133" t="s">
        <v>43</v>
      </c>
      <c r="D133" t="s">
        <v>22</v>
      </c>
      <c r="E133" t="s">
        <v>88</v>
      </c>
      <c r="F133" t="s">
        <v>24</v>
      </c>
      <c r="G133" t="s">
        <v>25</v>
      </c>
      <c r="H133" s="8">
        <v>7</v>
      </c>
      <c r="I133" s="8">
        <v>916.63</v>
      </c>
      <c r="J133" s="8">
        <v>0.1</v>
      </c>
      <c r="K133" s="3">
        <v>5774.77</v>
      </c>
      <c r="L133" t="s">
        <v>19</v>
      </c>
      <c r="M133" t="s">
        <v>36</v>
      </c>
      <c r="N133" s="3">
        <f>Table1[[#This Row],[Quantity]]*Table1[[#This Row],[UnitPrice]]*(1-Table1[[#This Row],[Discount]])</f>
        <v>5774.7690000000002</v>
      </c>
    </row>
    <row r="134" spans="1:14" x14ac:dyDescent="0.35">
      <c r="A134" s="8">
        <v>1129</v>
      </c>
      <c r="B134" s="2">
        <v>45891</v>
      </c>
      <c r="C134" t="s">
        <v>27</v>
      </c>
      <c r="D134" t="s">
        <v>47</v>
      </c>
      <c r="E134" t="s">
        <v>41</v>
      </c>
      <c r="F134" t="s">
        <v>17</v>
      </c>
      <c r="G134" t="s">
        <v>18</v>
      </c>
      <c r="H134" s="8">
        <v>4</v>
      </c>
      <c r="I134" s="8">
        <v>974.87</v>
      </c>
      <c r="J134" s="8">
        <v>0.05</v>
      </c>
      <c r="K134" s="3">
        <v>3704.51</v>
      </c>
      <c r="L134" t="s">
        <v>39</v>
      </c>
      <c r="M134" t="s">
        <v>26</v>
      </c>
      <c r="N134" s="3">
        <f>Table1[[#This Row],[Quantity]]*Table1[[#This Row],[UnitPrice]]*(1-Table1[[#This Row],[Discount]])</f>
        <v>3704.5059999999999</v>
      </c>
    </row>
    <row r="135" spans="1:14" x14ac:dyDescent="0.35">
      <c r="A135" s="8">
        <v>1047</v>
      </c>
      <c r="B135" s="2">
        <v>45895</v>
      </c>
      <c r="C135" t="s">
        <v>21</v>
      </c>
      <c r="D135" t="s">
        <v>15</v>
      </c>
      <c r="E135" t="s">
        <v>98</v>
      </c>
      <c r="F135" t="s">
        <v>33</v>
      </c>
      <c r="G135" t="s">
        <v>34</v>
      </c>
      <c r="H135" s="8">
        <v>7</v>
      </c>
      <c r="I135" s="8">
        <v>712.82</v>
      </c>
      <c r="J135" s="8">
        <v>0.15</v>
      </c>
      <c r="K135" s="3">
        <v>4241.28</v>
      </c>
      <c r="L135" t="s">
        <v>35</v>
      </c>
      <c r="M135" t="s">
        <v>20</v>
      </c>
      <c r="N135" s="3">
        <f>Table1[[#This Row],[Quantity]]*Table1[[#This Row],[UnitPrice]]*(1-Table1[[#This Row],[Discount]])</f>
        <v>4241.2790000000005</v>
      </c>
    </row>
    <row r="136" spans="1:14" x14ac:dyDescent="0.35">
      <c r="A136" s="8">
        <v>1003</v>
      </c>
      <c r="B136" s="2">
        <v>45897</v>
      </c>
      <c r="C136" t="s">
        <v>27</v>
      </c>
      <c r="D136" t="s">
        <v>47</v>
      </c>
      <c r="E136" t="s">
        <v>108</v>
      </c>
      <c r="F136" t="s">
        <v>24</v>
      </c>
      <c r="G136" t="s">
        <v>25</v>
      </c>
      <c r="H136" s="8">
        <v>13</v>
      </c>
      <c r="I136" s="8">
        <v>1071.08</v>
      </c>
      <c r="J136" s="8">
        <v>0.1</v>
      </c>
      <c r="K136" s="3">
        <v>12531.64</v>
      </c>
      <c r="L136" t="s">
        <v>35</v>
      </c>
      <c r="M136" t="s">
        <v>26</v>
      </c>
      <c r="N136" s="3">
        <f>Table1[[#This Row],[Quantity]]*Table1[[#This Row],[UnitPrice]]*(1-Table1[[#This Row],[Discount]])</f>
        <v>12531.635999999999</v>
      </c>
    </row>
    <row r="137" spans="1:14" x14ac:dyDescent="0.35">
      <c r="A137" s="8">
        <v>1260</v>
      </c>
      <c r="B137" s="2">
        <v>45899</v>
      </c>
      <c r="C137" t="s">
        <v>43</v>
      </c>
      <c r="D137" t="s">
        <v>28</v>
      </c>
      <c r="E137" t="s">
        <v>23</v>
      </c>
      <c r="F137" t="s">
        <v>17</v>
      </c>
      <c r="G137" t="s">
        <v>46</v>
      </c>
      <c r="H137" s="8">
        <v>9</v>
      </c>
      <c r="I137" s="8">
        <v>927.94</v>
      </c>
      <c r="J137" s="8">
        <v>0.05</v>
      </c>
      <c r="K137" s="3">
        <v>7933.89</v>
      </c>
      <c r="L137" t="s">
        <v>19</v>
      </c>
      <c r="M137" t="s">
        <v>20</v>
      </c>
      <c r="N137" s="3">
        <f>Table1[[#This Row],[Quantity]]*Table1[[#This Row],[UnitPrice]]*(1-Table1[[#This Row],[Discount]])</f>
        <v>7933.8870000000006</v>
      </c>
    </row>
    <row r="138" spans="1:14" x14ac:dyDescent="0.35">
      <c r="A138" s="8">
        <v>1085</v>
      </c>
      <c r="B138" s="2">
        <v>45911</v>
      </c>
      <c r="C138" t="s">
        <v>21</v>
      </c>
      <c r="D138" t="s">
        <v>22</v>
      </c>
      <c r="E138" t="s">
        <v>109</v>
      </c>
      <c r="F138" t="s">
        <v>17</v>
      </c>
      <c r="G138" t="s">
        <v>18</v>
      </c>
      <c r="H138" s="8">
        <v>15</v>
      </c>
      <c r="I138" s="8">
        <v>1020.31</v>
      </c>
      <c r="J138" s="8">
        <v>0.15</v>
      </c>
      <c r="K138" s="3">
        <v>13008.95</v>
      </c>
      <c r="L138" t="s">
        <v>19</v>
      </c>
      <c r="M138" t="s">
        <v>36</v>
      </c>
      <c r="N138" s="3">
        <f>Table1[[#This Row],[Quantity]]*Table1[[#This Row],[UnitPrice]]*(1-Table1[[#This Row],[Discount]])</f>
        <v>13008.952499999999</v>
      </c>
    </row>
    <row r="139" spans="1:14" x14ac:dyDescent="0.35">
      <c r="A139" s="8">
        <v>1266</v>
      </c>
      <c r="B139" s="2">
        <v>45911</v>
      </c>
      <c r="C139" t="s">
        <v>14</v>
      </c>
      <c r="D139" t="s">
        <v>22</v>
      </c>
      <c r="E139" t="s">
        <v>76</v>
      </c>
      <c r="F139" t="s">
        <v>24</v>
      </c>
      <c r="G139" t="s">
        <v>63</v>
      </c>
      <c r="H139" s="8">
        <v>12</v>
      </c>
      <c r="I139" s="8">
        <v>420.63</v>
      </c>
      <c r="J139" s="8">
        <v>0.05</v>
      </c>
      <c r="K139" s="3">
        <v>4795.18</v>
      </c>
      <c r="L139" t="s">
        <v>35</v>
      </c>
      <c r="M139" t="s">
        <v>26</v>
      </c>
      <c r="N139" s="3">
        <f>Table1[[#This Row],[Quantity]]*Table1[[#This Row],[UnitPrice]]*(1-Table1[[#This Row],[Discount]])</f>
        <v>4795.1819999999989</v>
      </c>
    </row>
    <row r="140" spans="1:14" x14ac:dyDescent="0.35">
      <c r="A140" s="8">
        <v>1214</v>
      </c>
      <c r="B140" s="2">
        <v>45914</v>
      </c>
      <c r="C140" t="s">
        <v>21</v>
      </c>
      <c r="D140" t="s">
        <v>31</v>
      </c>
      <c r="E140" t="s">
        <v>91</v>
      </c>
      <c r="F140" t="s">
        <v>33</v>
      </c>
      <c r="G140" t="s">
        <v>34</v>
      </c>
      <c r="H140" s="8">
        <v>8</v>
      </c>
      <c r="I140" s="8">
        <v>238.51</v>
      </c>
      <c r="J140" s="8">
        <v>0.05</v>
      </c>
      <c r="K140" s="3">
        <v>1812.68</v>
      </c>
      <c r="L140" t="s">
        <v>35</v>
      </c>
      <c r="M140" t="s">
        <v>20</v>
      </c>
      <c r="N140" s="3">
        <f>Table1[[#This Row],[Quantity]]*Table1[[#This Row],[UnitPrice]]*(1-Table1[[#This Row],[Discount]])</f>
        <v>1812.6759999999999</v>
      </c>
    </row>
    <row r="141" spans="1:14" x14ac:dyDescent="0.35">
      <c r="A141" s="8">
        <v>1223</v>
      </c>
      <c r="B141" s="2">
        <v>45915</v>
      </c>
      <c r="C141" t="s">
        <v>43</v>
      </c>
      <c r="D141" t="s">
        <v>54</v>
      </c>
      <c r="E141" t="s">
        <v>74</v>
      </c>
      <c r="F141" t="s">
        <v>17</v>
      </c>
      <c r="G141" t="s">
        <v>30</v>
      </c>
      <c r="H141" s="8">
        <v>3</v>
      </c>
      <c r="I141" s="8">
        <v>271.01</v>
      </c>
      <c r="J141" s="8">
        <v>0.1</v>
      </c>
      <c r="K141" s="3">
        <v>731.73</v>
      </c>
      <c r="L141" t="s">
        <v>39</v>
      </c>
      <c r="M141" t="s">
        <v>36</v>
      </c>
      <c r="N141" s="3">
        <f>Table1[[#This Row],[Quantity]]*Table1[[#This Row],[UnitPrice]]*(1-Table1[[#This Row],[Discount]])</f>
        <v>731.72699999999998</v>
      </c>
    </row>
    <row r="142" spans="1:14" x14ac:dyDescent="0.35">
      <c r="A142" s="8">
        <v>1007</v>
      </c>
      <c r="B142" s="2">
        <v>45916</v>
      </c>
      <c r="C142" t="s">
        <v>14</v>
      </c>
      <c r="D142" t="s">
        <v>47</v>
      </c>
      <c r="E142" t="s">
        <v>104</v>
      </c>
      <c r="F142" t="s">
        <v>24</v>
      </c>
      <c r="G142" t="s">
        <v>38</v>
      </c>
      <c r="H142" s="8">
        <v>10</v>
      </c>
      <c r="I142" s="8">
        <v>812.04</v>
      </c>
      <c r="J142" s="8">
        <v>0.1</v>
      </c>
      <c r="K142" s="3">
        <v>7308.36</v>
      </c>
      <c r="L142" t="s">
        <v>39</v>
      </c>
      <c r="M142" t="s">
        <v>20</v>
      </c>
      <c r="N142" s="3">
        <f>Table1[[#This Row],[Quantity]]*Table1[[#This Row],[UnitPrice]]*(1-Table1[[#This Row],[Discount]])</f>
        <v>7308.36</v>
      </c>
    </row>
    <row r="143" spans="1:14" x14ac:dyDescent="0.35">
      <c r="A143" s="8">
        <v>1118</v>
      </c>
      <c r="B143" s="2">
        <v>45916</v>
      </c>
      <c r="C143" t="s">
        <v>27</v>
      </c>
      <c r="D143" t="s">
        <v>15</v>
      </c>
      <c r="E143" t="s">
        <v>99</v>
      </c>
      <c r="F143" t="s">
        <v>17</v>
      </c>
      <c r="G143" t="s">
        <v>18</v>
      </c>
      <c r="H143" s="8">
        <v>14</v>
      </c>
      <c r="I143" s="8">
        <v>298.47000000000003</v>
      </c>
      <c r="J143" s="8">
        <v>0</v>
      </c>
      <c r="K143" s="3">
        <v>4178.58</v>
      </c>
      <c r="L143" t="s">
        <v>19</v>
      </c>
      <c r="M143" t="s">
        <v>20</v>
      </c>
      <c r="N143" s="3">
        <f>Table1[[#This Row],[Quantity]]*Table1[[#This Row],[UnitPrice]]*(1-Table1[[#This Row],[Discount]])</f>
        <v>4178.58</v>
      </c>
    </row>
    <row r="144" spans="1:14" x14ac:dyDescent="0.35">
      <c r="A144" s="8">
        <v>1169</v>
      </c>
      <c r="B144" s="2">
        <v>45916</v>
      </c>
      <c r="C144" t="s">
        <v>43</v>
      </c>
      <c r="D144" t="s">
        <v>15</v>
      </c>
      <c r="E144" t="s">
        <v>72</v>
      </c>
      <c r="F144" t="s">
        <v>24</v>
      </c>
      <c r="G144" t="s">
        <v>38</v>
      </c>
      <c r="H144" s="8">
        <v>3</v>
      </c>
      <c r="I144" s="8">
        <v>649.34</v>
      </c>
      <c r="J144" s="8">
        <v>0.05</v>
      </c>
      <c r="K144" s="3">
        <v>1850.62</v>
      </c>
      <c r="L144" t="s">
        <v>19</v>
      </c>
      <c r="M144" t="s">
        <v>20</v>
      </c>
      <c r="N144" s="3">
        <f>Table1[[#This Row],[Quantity]]*Table1[[#This Row],[UnitPrice]]*(1-Table1[[#This Row],[Discount]])</f>
        <v>1850.6189999999999</v>
      </c>
    </row>
    <row r="145" spans="1:14" x14ac:dyDescent="0.35">
      <c r="A145" s="8">
        <v>1206</v>
      </c>
      <c r="B145" s="2">
        <v>45917</v>
      </c>
      <c r="C145" t="s">
        <v>21</v>
      </c>
      <c r="D145" t="s">
        <v>28</v>
      </c>
      <c r="E145" t="s">
        <v>110</v>
      </c>
      <c r="F145" t="s">
        <v>24</v>
      </c>
      <c r="G145" t="s">
        <v>38</v>
      </c>
      <c r="H145" s="8">
        <v>2</v>
      </c>
      <c r="I145" s="8">
        <v>1097.76</v>
      </c>
      <c r="J145" s="8">
        <v>0.15</v>
      </c>
      <c r="K145" s="3">
        <v>1866.19</v>
      </c>
      <c r="L145" t="s">
        <v>39</v>
      </c>
      <c r="M145" t="s">
        <v>26</v>
      </c>
      <c r="N145" s="3">
        <f>Table1[[#This Row],[Quantity]]*Table1[[#This Row],[UnitPrice]]*(1-Table1[[#This Row],[Discount]])</f>
        <v>1866.192</v>
      </c>
    </row>
    <row r="146" spans="1:14" x14ac:dyDescent="0.35">
      <c r="A146" s="8">
        <v>1199</v>
      </c>
      <c r="B146" s="2">
        <v>45919</v>
      </c>
      <c r="C146" t="s">
        <v>43</v>
      </c>
      <c r="D146" t="s">
        <v>15</v>
      </c>
      <c r="E146" t="s">
        <v>111</v>
      </c>
      <c r="F146" t="s">
        <v>24</v>
      </c>
      <c r="G146" t="s">
        <v>38</v>
      </c>
      <c r="H146" s="8">
        <v>3</v>
      </c>
      <c r="I146" s="8">
        <v>1137.8900000000001</v>
      </c>
      <c r="J146" s="8">
        <v>0.1</v>
      </c>
      <c r="K146" s="3">
        <v>3072.3</v>
      </c>
      <c r="L146" t="s">
        <v>19</v>
      </c>
      <c r="M146" t="s">
        <v>36</v>
      </c>
      <c r="N146" s="3">
        <f>Table1[[#This Row],[Quantity]]*Table1[[#This Row],[UnitPrice]]*(1-Table1[[#This Row],[Discount]])</f>
        <v>3072.3030000000003</v>
      </c>
    </row>
    <row r="147" spans="1:14" x14ac:dyDescent="0.35">
      <c r="A147" s="8">
        <v>1015</v>
      </c>
      <c r="B147" s="2">
        <v>45920</v>
      </c>
      <c r="C147" t="s">
        <v>14</v>
      </c>
      <c r="D147" t="s">
        <v>47</v>
      </c>
      <c r="E147" t="s">
        <v>67</v>
      </c>
      <c r="F147" t="s">
        <v>33</v>
      </c>
      <c r="G147" t="s">
        <v>34</v>
      </c>
      <c r="H147" s="8">
        <v>2</v>
      </c>
      <c r="I147" s="8">
        <v>700.13</v>
      </c>
      <c r="J147" s="8">
        <v>0.05</v>
      </c>
      <c r="K147" s="3">
        <v>1330.25</v>
      </c>
      <c r="L147" t="s">
        <v>35</v>
      </c>
      <c r="M147" t="s">
        <v>36</v>
      </c>
      <c r="N147" s="3">
        <f>Table1[[#This Row],[Quantity]]*Table1[[#This Row],[UnitPrice]]*(1-Table1[[#This Row],[Discount]])</f>
        <v>1330.2469999999998</v>
      </c>
    </row>
    <row r="148" spans="1:14" x14ac:dyDescent="0.35">
      <c r="A148" s="8">
        <v>1189</v>
      </c>
      <c r="B148" s="2">
        <v>45923</v>
      </c>
      <c r="C148" t="s">
        <v>21</v>
      </c>
      <c r="D148" t="s">
        <v>47</v>
      </c>
      <c r="E148" t="s">
        <v>112</v>
      </c>
      <c r="F148" t="s">
        <v>17</v>
      </c>
      <c r="G148" t="s">
        <v>46</v>
      </c>
      <c r="H148" s="8">
        <v>13</v>
      </c>
      <c r="I148" s="8">
        <v>505.05</v>
      </c>
      <c r="J148" s="8">
        <v>0</v>
      </c>
      <c r="K148" s="3">
        <v>6565.65</v>
      </c>
      <c r="L148" t="s">
        <v>39</v>
      </c>
      <c r="M148" t="s">
        <v>36</v>
      </c>
      <c r="N148" s="3">
        <f>Table1[[#This Row],[Quantity]]*Table1[[#This Row],[UnitPrice]]*(1-Table1[[#This Row],[Discount]])</f>
        <v>6565.6500000000005</v>
      </c>
    </row>
    <row r="149" spans="1:14" x14ac:dyDescent="0.35">
      <c r="A149" s="8">
        <v>1267</v>
      </c>
      <c r="B149" s="2">
        <v>45924</v>
      </c>
      <c r="C149" t="s">
        <v>14</v>
      </c>
      <c r="D149" t="s">
        <v>54</v>
      </c>
      <c r="E149" t="s">
        <v>102</v>
      </c>
      <c r="F149" t="s">
        <v>17</v>
      </c>
      <c r="G149" t="s">
        <v>46</v>
      </c>
      <c r="H149" s="8">
        <v>10</v>
      </c>
      <c r="I149" s="8">
        <v>468.2</v>
      </c>
      <c r="J149" s="8">
        <v>0.15</v>
      </c>
      <c r="K149" s="3">
        <v>3979.7</v>
      </c>
      <c r="L149" t="s">
        <v>35</v>
      </c>
      <c r="M149" t="s">
        <v>36</v>
      </c>
      <c r="N149" s="3">
        <f>Table1[[#This Row],[Quantity]]*Table1[[#This Row],[UnitPrice]]*(1-Table1[[#This Row],[Discount]])</f>
        <v>3979.7</v>
      </c>
    </row>
    <row r="150" spans="1:14" x14ac:dyDescent="0.35">
      <c r="A150" s="8">
        <v>1197</v>
      </c>
      <c r="B150" s="2">
        <v>45925</v>
      </c>
      <c r="C150" t="s">
        <v>27</v>
      </c>
      <c r="D150" t="s">
        <v>31</v>
      </c>
      <c r="E150" t="s">
        <v>75</v>
      </c>
      <c r="F150" t="s">
        <v>33</v>
      </c>
      <c r="G150" t="s">
        <v>53</v>
      </c>
      <c r="H150" s="8">
        <v>3</v>
      </c>
      <c r="I150" s="8">
        <v>358.72</v>
      </c>
      <c r="J150" s="8">
        <v>0.05</v>
      </c>
      <c r="K150" s="3">
        <v>1022.35</v>
      </c>
      <c r="L150" t="s">
        <v>39</v>
      </c>
      <c r="M150" t="s">
        <v>26</v>
      </c>
      <c r="N150" s="3">
        <f>Table1[[#This Row],[Quantity]]*Table1[[#This Row],[UnitPrice]]*(1-Table1[[#This Row],[Discount]])</f>
        <v>1022.352</v>
      </c>
    </row>
    <row r="151" spans="1:14" x14ac:dyDescent="0.35">
      <c r="A151" s="8">
        <v>1249</v>
      </c>
      <c r="B151" s="2">
        <v>45927</v>
      </c>
      <c r="C151" t="s">
        <v>21</v>
      </c>
      <c r="D151" t="s">
        <v>22</v>
      </c>
      <c r="E151" t="s">
        <v>113</v>
      </c>
      <c r="F151" t="s">
        <v>24</v>
      </c>
      <c r="G151" t="s">
        <v>38</v>
      </c>
      <c r="H151" s="8">
        <v>13</v>
      </c>
      <c r="I151" s="8">
        <v>339.22</v>
      </c>
      <c r="J151" s="8">
        <v>0.1</v>
      </c>
      <c r="K151" s="3">
        <v>3968.87</v>
      </c>
      <c r="L151" t="s">
        <v>35</v>
      </c>
      <c r="M151" t="s">
        <v>36</v>
      </c>
      <c r="N151" s="3">
        <f>Table1[[#This Row],[Quantity]]*Table1[[#This Row],[UnitPrice]]*(1-Table1[[#This Row],[Discount]])</f>
        <v>3968.8740000000007</v>
      </c>
    </row>
    <row r="152" spans="1:14" x14ac:dyDescent="0.35">
      <c r="A152" s="8">
        <v>1067</v>
      </c>
      <c r="B152" s="2">
        <v>45933</v>
      </c>
      <c r="C152" t="s">
        <v>43</v>
      </c>
      <c r="D152" t="s">
        <v>22</v>
      </c>
      <c r="E152" t="s">
        <v>84</v>
      </c>
      <c r="F152" t="s">
        <v>24</v>
      </c>
      <c r="G152" t="s">
        <v>25</v>
      </c>
      <c r="H152" s="8">
        <v>7</v>
      </c>
      <c r="I152" s="8">
        <v>382.33</v>
      </c>
      <c r="J152" s="8">
        <v>0.05</v>
      </c>
      <c r="K152" s="3">
        <v>2542.4899999999998</v>
      </c>
      <c r="L152" t="s">
        <v>19</v>
      </c>
      <c r="M152" t="s">
        <v>20</v>
      </c>
      <c r="N152" s="3">
        <f>Table1[[#This Row],[Quantity]]*Table1[[#This Row],[UnitPrice]]*(1-Table1[[#This Row],[Discount]])</f>
        <v>2542.4944999999998</v>
      </c>
    </row>
    <row r="153" spans="1:14" x14ac:dyDescent="0.35">
      <c r="A153" s="8">
        <v>1236</v>
      </c>
      <c r="B153" s="2">
        <v>45935</v>
      </c>
      <c r="C153" t="s">
        <v>21</v>
      </c>
      <c r="D153" t="s">
        <v>15</v>
      </c>
      <c r="E153" t="s">
        <v>85</v>
      </c>
      <c r="F153" t="s">
        <v>24</v>
      </c>
      <c r="G153" t="s">
        <v>25</v>
      </c>
      <c r="H153" s="8">
        <v>11</v>
      </c>
      <c r="I153" s="8">
        <v>845.44</v>
      </c>
      <c r="J153" s="8">
        <v>0.1</v>
      </c>
      <c r="K153" s="3">
        <v>8369.86</v>
      </c>
      <c r="L153" t="s">
        <v>35</v>
      </c>
      <c r="M153" t="s">
        <v>20</v>
      </c>
      <c r="N153" s="3">
        <f>Table1[[#This Row],[Quantity]]*Table1[[#This Row],[UnitPrice]]*(1-Table1[[#This Row],[Discount]])</f>
        <v>8369.8559999999998</v>
      </c>
    </row>
    <row r="154" spans="1:14" x14ac:dyDescent="0.35">
      <c r="A154" s="8">
        <v>1040</v>
      </c>
      <c r="B154" s="2">
        <v>45939</v>
      </c>
      <c r="C154" t="s">
        <v>21</v>
      </c>
      <c r="D154" t="s">
        <v>22</v>
      </c>
      <c r="E154" t="s">
        <v>108</v>
      </c>
      <c r="F154" t="s">
        <v>24</v>
      </c>
      <c r="G154" t="s">
        <v>38</v>
      </c>
      <c r="H154" s="8">
        <v>4</v>
      </c>
      <c r="I154" s="8">
        <v>714</v>
      </c>
      <c r="J154" s="8">
        <v>0</v>
      </c>
      <c r="K154" s="3">
        <v>2856</v>
      </c>
      <c r="L154" t="s">
        <v>39</v>
      </c>
      <c r="M154" t="s">
        <v>26</v>
      </c>
      <c r="N154" s="3">
        <f>Table1[[#This Row],[Quantity]]*Table1[[#This Row],[UnitPrice]]*(1-Table1[[#This Row],[Discount]])</f>
        <v>2856</v>
      </c>
    </row>
    <row r="155" spans="1:14" x14ac:dyDescent="0.35">
      <c r="A155" s="8">
        <v>1296</v>
      </c>
      <c r="B155" s="2">
        <v>45939</v>
      </c>
      <c r="C155" t="s">
        <v>27</v>
      </c>
      <c r="D155" t="s">
        <v>31</v>
      </c>
      <c r="E155" t="s">
        <v>83</v>
      </c>
      <c r="F155" t="s">
        <v>17</v>
      </c>
      <c r="G155" t="s">
        <v>18</v>
      </c>
      <c r="H155" s="8">
        <v>11</v>
      </c>
      <c r="I155" s="8">
        <v>738.18</v>
      </c>
      <c r="J155" s="8">
        <v>0.15</v>
      </c>
      <c r="K155" s="3">
        <v>6901.98</v>
      </c>
      <c r="L155" t="s">
        <v>39</v>
      </c>
      <c r="M155" t="s">
        <v>36</v>
      </c>
      <c r="N155" s="3">
        <f>Table1[[#This Row],[Quantity]]*Table1[[#This Row],[UnitPrice]]*(1-Table1[[#This Row],[Discount]])</f>
        <v>6901.9829999999993</v>
      </c>
    </row>
    <row r="156" spans="1:14" x14ac:dyDescent="0.35">
      <c r="A156" s="8">
        <v>1105</v>
      </c>
      <c r="B156" s="2">
        <v>45940</v>
      </c>
      <c r="C156" t="s">
        <v>14</v>
      </c>
      <c r="D156" t="s">
        <v>15</v>
      </c>
      <c r="E156" t="s">
        <v>88</v>
      </c>
      <c r="F156" t="s">
        <v>33</v>
      </c>
      <c r="G156" t="s">
        <v>61</v>
      </c>
      <c r="H156" s="8">
        <v>13</v>
      </c>
      <c r="I156" s="8">
        <v>778.87</v>
      </c>
      <c r="J156" s="8">
        <v>0.05</v>
      </c>
      <c r="K156" s="3">
        <v>9619.0400000000009</v>
      </c>
      <c r="L156" t="s">
        <v>19</v>
      </c>
      <c r="M156" t="s">
        <v>20</v>
      </c>
      <c r="N156" s="3">
        <f>Table1[[#This Row],[Quantity]]*Table1[[#This Row],[UnitPrice]]*(1-Table1[[#This Row],[Discount]])</f>
        <v>9619.0445</v>
      </c>
    </row>
    <row r="157" spans="1:14" x14ac:dyDescent="0.35">
      <c r="A157" s="8">
        <v>1291</v>
      </c>
      <c r="B157" s="2">
        <v>45941</v>
      </c>
      <c r="C157" t="s">
        <v>21</v>
      </c>
      <c r="D157" t="s">
        <v>28</v>
      </c>
      <c r="E157" t="s">
        <v>82</v>
      </c>
      <c r="F157" t="s">
        <v>17</v>
      </c>
      <c r="G157" t="s">
        <v>30</v>
      </c>
      <c r="H157" s="8">
        <v>4</v>
      </c>
      <c r="I157" s="8">
        <v>882.92</v>
      </c>
      <c r="J157" s="8">
        <v>0.1</v>
      </c>
      <c r="K157" s="3">
        <v>3178.51</v>
      </c>
      <c r="L157" t="s">
        <v>35</v>
      </c>
      <c r="M157" t="s">
        <v>36</v>
      </c>
      <c r="N157" s="3">
        <f>Table1[[#This Row],[Quantity]]*Table1[[#This Row],[UnitPrice]]*(1-Table1[[#This Row],[Discount]])</f>
        <v>3178.5119999999997</v>
      </c>
    </row>
    <row r="158" spans="1:14" x14ac:dyDescent="0.35">
      <c r="A158" s="8">
        <v>1038</v>
      </c>
      <c r="B158" s="2">
        <v>45942</v>
      </c>
      <c r="C158" t="s">
        <v>14</v>
      </c>
      <c r="D158" t="s">
        <v>28</v>
      </c>
      <c r="E158" t="s">
        <v>41</v>
      </c>
      <c r="F158" t="s">
        <v>33</v>
      </c>
      <c r="G158" t="s">
        <v>61</v>
      </c>
      <c r="H158" s="8">
        <v>5</v>
      </c>
      <c r="I158" s="8">
        <v>229.27</v>
      </c>
      <c r="J158" s="8">
        <v>0.15</v>
      </c>
      <c r="K158" s="3">
        <v>974.4</v>
      </c>
      <c r="L158" t="s">
        <v>39</v>
      </c>
      <c r="M158" t="s">
        <v>20</v>
      </c>
      <c r="N158" s="3">
        <f>Table1[[#This Row],[Quantity]]*Table1[[#This Row],[UnitPrice]]*(1-Table1[[#This Row],[Discount]])</f>
        <v>974.39750000000004</v>
      </c>
    </row>
    <row r="159" spans="1:14" x14ac:dyDescent="0.35">
      <c r="A159" s="8">
        <v>1191</v>
      </c>
      <c r="B159" s="2">
        <v>45946</v>
      </c>
      <c r="C159" t="s">
        <v>27</v>
      </c>
      <c r="D159" t="s">
        <v>54</v>
      </c>
      <c r="E159" t="s">
        <v>94</v>
      </c>
      <c r="F159" t="s">
        <v>17</v>
      </c>
      <c r="G159" t="s">
        <v>30</v>
      </c>
      <c r="H159" s="8">
        <v>3</v>
      </c>
      <c r="I159" s="8">
        <v>42.16</v>
      </c>
      <c r="J159" s="8">
        <v>0.05</v>
      </c>
      <c r="K159" s="3">
        <v>120.16</v>
      </c>
      <c r="L159" t="s">
        <v>39</v>
      </c>
      <c r="M159" t="s">
        <v>36</v>
      </c>
      <c r="N159" s="3">
        <f>Table1[[#This Row],[Quantity]]*Table1[[#This Row],[UnitPrice]]*(1-Table1[[#This Row],[Discount]])</f>
        <v>120.15599999999999</v>
      </c>
    </row>
    <row r="160" spans="1:14" x14ac:dyDescent="0.35">
      <c r="A160" s="8">
        <v>1134</v>
      </c>
      <c r="B160" s="2">
        <v>45947</v>
      </c>
      <c r="C160" t="s">
        <v>27</v>
      </c>
      <c r="D160" t="s">
        <v>28</v>
      </c>
      <c r="E160" t="s">
        <v>23</v>
      </c>
      <c r="F160" t="s">
        <v>17</v>
      </c>
      <c r="G160" t="s">
        <v>18</v>
      </c>
      <c r="H160" s="8">
        <v>12</v>
      </c>
      <c r="I160" s="8">
        <v>306.14999999999998</v>
      </c>
      <c r="J160" s="8">
        <v>0.05</v>
      </c>
      <c r="K160" s="3">
        <v>3490.11</v>
      </c>
      <c r="L160" t="s">
        <v>35</v>
      </c>
      <c r="M160" t="s">
        <v>20</v>
      </c>
      <c r="N160" s="3">
        <f>Table1[[#This Row],[Quantity]]*Table1[[#This Row],[UnitPrice]]*(1-Table1[[#This Row],[Discount]])</f>
        <v>3490.1099999999997</v>
      </c>
    </row>
    <row r="161" spans="1:14" x14ac:dyDescent="0.35">
      <c r="A161" s="8">
        <v>1254</v>
      </c>
      <c r="B161" s="2">
        <v>45947</v>
      </c>
      <c r="C161" t="s">
        <v>14</v>
      </c>
      <c r="D161" t="s">
        <v>15</v>
      </c>
      <c r="E161" t="s">
        <v>73</v>
      </c>
      <c r="F161" t="s">
        <v>24</v>
      </c>
      <c r="G161" t="s">
        <v>38</v>
      </c>
      <c r="H161" s="8">
        <v>1</v>
      </c>
      <c r="I161" s="8">
        <v>15.14</v>
      </c>
      <c r="J161" s="8">
        <v>0</v>
      </c>
      <c r="K161" s="3">
        <v>15.14</v>
      </c>
      <c r="L161" t="s">
        <v>39</v>
      </c>
      <c r="M161" t="s">
        <v>20</v>
      </c>
      <c r="N161" s="3">
        <f>Table1[[#This Row],[Quantity]]*Table1[[#This Row],[UnitPrice]]*(1-Table1[[#This Row],[Discount]])</f>
        <v>15.14</v>
      </c>
    </row>
    <row r="162" spans="1:14" x14ac:dyDescent="0.35">
      <c r="A162" s="8">
        <v>1282</v>
      </c>
      <c r="B162" s="2">
        <v>45949</v>
      </c>
      <c r="C162" t="s">
        <v>14</v>
      </c>
      <c r="D162" t="s">
        <v>47</v>
      </c>
      <c r="E162" t="s">
        <v>42</v>
      </c>
      <c r="F162" t="s">
        <v>33</v>
      </c>
      <c r="G162" t="s">
        <v>61</v>
      </c>
      <c r="H162" s="8">
        <v>12</v>
      </c>
      <c r="I162" s="8">
        <v>753.77</v>
      </c>
      <c r="J162" s="8">
        <v>0.1</v>
      </c>
      <c r="K162" s="3">
        <v>8140.72</v>
      </c>
      <c r="L162" t="s">
        <v>39</v>
      </c>
      <c r="M162" t="s">
        <v>36</v>
      </c>
      <c r="N162" s="3">
        <f>Table1[[#This Row],[Quantity]]*Table1[[#This Row],[UnitPrice]]*(1-Table1[[#This Row],[Discount]])</f>
        <v>8140.7160000000003</v>
      </c>
    </row>
    <row r="163" spans="1:14" x14ac:dyDescent="0.35">
      <c r="A163" s="8">
        <v>1229</v>
      </c>
      <c r="B163" s="2">
        <v>45951</v>
      </c>
      <c r="C163" t="s">
        <v>43</v>
      </c>
      <c r="D163" t="s">
        <v>31</v>
      </c>
      <c r="E163" t="s">
        <v>94</v>
      </c>
      <c r="F163" t="s">
        <v>24</v>
      </c>
      <c r="G163" t="s">
        <v>63</v>
      </c>
      <c r="H163" s="8">
        <v>7</v>
      </c>
      <c r="I163" s="8">
        <v>139.15</v>
      </c>
      <c r="J163" s="8">
        <v>0</v>
      </c>
      <c r="K163" s="3">
        <v>974.05</v>
      </c>
      <c r="L163" t="s">
        <v>39</v>
      </c>
      <c r="M163" t="s">
        <v>26</v>
      </c>
      <c r="N163" s="3">
        <f>Table1[[#This Row],[Quantity]]*Table1[[#This Row],[UnitPrice]]*(1-Table1[[#This Row],[Discount]])</f>
        <v>974.05000000000007</v>
      </c>
    </row>
    <row r="164" spans="1:14" x14ac:dyDescent="0.35">
      <c r="A164" s="8">
        <v>1234</v>
      </c>
      <c r="B164" s="2">
        <v>45959</v>
      </c>
      <c r="C164" t="s">
        <v>43</v>
      </c>
      <c r="D164" t="s">
        <v>31</v>
      </c>
      <c r="E164" t="s">
        <v>114</v>
      </c>
      <c r="F164" t="s">
        <v>33</v>
      </c>
      <c r="G164" t="s">
        <v>61</v>
      </c>
      <c r="H164" s="8">
        <v>12</v>
      </c>
      <c r="I164" s="8">
        <v>219.81</v>
      </c>
      <c r="J164" s="8">
        <v>0</v>
      </c>
      <c r="K164" s="3">
        <v>2637.72</v>
      </c>
      <c r="L164" t="s">
        <v>39</v>
      </c>
      <c r="M164" t="s">
        <v>20</v>
      </c>
      <c r="N164" s="3">
        <f>Table1[[#This Row],[Quantity]]*Table1[[#This Row],[UnitPrice]]*(1-Table1[[#This Row],[Discount]])</f>
        <v>2637.7200000000003</v>
      </c>
    </row>
    <row r="165" spans="1:14" x14ac:dyDescent="0.35">
      <c r="A165" s="8">
        <v>1142</v>
      </c>
      <c r="B165" s="2">
        <v>45962</v>
      </c>
      <c r="C165" t="s">
        <v>21</v>
      </c>
      <c r="D165" t="s">
        <v>47</v>
      </c>
      <c r="E165" t="s">
        <v>67</v>
      </c>
      <c r="F165" t="s">
        <v>24</v>
      </c>
      <c r="G165" t="s">
        <v>38</v>
      </c>
      <c r="H165" s="8">
        <v>9</v>
      </c>
      <c r="I165" s="8">
        <v>252.58</v>
      </c>
      <c r="J165" s="8">
        <v>0</v>
      </c>
      <c r="K165" s="3">
        <v>2273.2199999999998</v>
      </c>
      <c r="L165" t="s">
        <v>39</v>
      </c>
      <c r="M165" t="s">
        <v>20</v>
      </c>
      <c r="N165" s="3">
        <f>Table1[[#This Row],[Quantity]]*Table1[[#This Row],[UnitPrice]]*(1-Table1[[#This Row],[Discount]])</f>
        <v>2273.2200000000003</v>
      </c>
    </row>
    <row r="166" spans="1:14" x14ac:dyDescent="0.35">
      <c r="A166" s="8">
        <v>1289</v>
      </c>
      <c r="B166" s="2">
        <v>45962</v>
      </c>
      <c r="C166" t="s">
        <v>14</v>
      </c>
      <c r="D166" t="s">
        <v>22</v>
      </c>
      <c r="E166" t="s">
        <v>71</v>
      </c>
      <c r="F166" t="s">
        <v>17</v>
      </c>
      <c r="G166" t="s">
        <v>18</v>
      </c>
      <c r="H166" s="8">
        <v>15</v>
      </c>
      <c r="I166" s="8">
        <v>1129.8399999999999</v>
      </c>
      <c r="J166" s="8">
        <v>0.15</v>
      </c>
      <c r="K166" s="3">
        <v>14405.46</v>
      </c>
      <c r="L166" t="s">
        <v>19</v>
      </c>
      <c r="M166" t="s">
        <v>36</v>
      </c>
      <c r="N166" s="3">
        <f>Table1[[#This Row],[Quantity]]*Table1[[#This Row],[UnitPrice]]*(1-Table1[[#This Row],[Discount]])</f>
        <v>14405.46</v>
      </c>
    </row>
    <row r="167" spans="1:14" x14ac:dyDescent="0.35">
      <c r="A167" s="8">
        <v>1082</v>
      </c>
      <c r="B167" s="2">
        <v>45964</v>
      </c>
      <c r="C167" t="s">
        <v>43</v>
      </c>
      <c r="D167" t="s">
        <v>28</v>
      </c>
      <c r="E167" t="s">
        <v>90</v>
      </c>
      <c r="F167" t="s">
        <v>24</v>
      </c>
      <c r="G167" t="s">
        <v>63</v>
      </c>
      <c r="H167" s="8">
        <v>15</v>
      </c>
      <c r="I167" s="8">
        <v>515.29</v>
      </c>
      <c r="J167" s="8">
        <v>0.15</v>
      </c>
      <c r="K167" s="3">
        <v>6569.95</v>
      </c>
      <c r="L167" t="s">
        <v>35</v>
      </c>
      <c r="M167" t="s">
        <v>36</v>
      </c>
      <c r="N167" s="3">
        <f>Table1[[#This Row],[Quantity]]*Table1[[#This Row],[UnitPrice]]*(1-Table1[[#This Row],[Discount]])</f>
        <v>6569.9474999999993</v>
      </c>
    </row>
    <row r="168" spans="1:14" x14ac:dyDescent="0.35">
      <c r="A168" s="8">
        <v>1148</v>
      </c>
      <c r="B168" s="2">
        <v>45964</v>
      </c>
      <c r="C168" t="s">
        <v>21</v>
      </c>
      <c r="D168" t="s">
        <v>22</v>
      </c>
      <c r="E168" t="s">
        <v>100</v>
      </c>
      <c r="F168" t="s">
        <v>24</v>
      </c>
      <c r="G168" t="s">
        <v>38</v>
      </c>
      <c r="H168" s="8">
        <v>2</v>
      </c>
      <c r="I168" s="8">
        <v>680.68</v>
      </c>
      <c r="J168" s="8">
        <v>0</v>
      </c>
      <c r="K168" s="3">
        <v>1361.36</v>
      </c>
      <c r="L168" t="s">
        <v>35</v>
      </c>
      <c r="M168" t="s">
        <v>20</v>
      </c>
      <c r="N168" s="3">
        <f>Table1[[#This Row],[Quantity]]*Table1[[#This Row],[UnitPrice]]*(1-Table1[[#This Row],[Discount]])</f>
        <v>1361.36</v>
      </c>
    </row>
    <row r="169" spans="1:14" x14ac:dyDescent="0.35">
      <c r="A169" s="8">
        <v>1022</v>
      </c>
      <c r="B169" s="2">
        <v>45965</v>
      </c>
      <c r="C169" t="s">
        <v>43</v>
      </c>
      <c r="D169" t="s">
        <v>31</v>
      </c>
      <c r="E169" t="s">
        <v>50</v>
      </c>
      <c r="F169" t="s">
        <v>24</v>
      </c>
      <c r="G169" t="s">
        <v>25</v>
      </c>
      <c r="H169" s="8">
        <v>6</v>
      </c>
      <c r="I169" s="8">
        <v>644.17999999999995</v>
      </c>
      <c r="J169" s="8">
        <v>0</v>
      </c>
      <c r="K169" s="3">
        <v>3865.08</v>
      </c>
      <c r="L169" t="s">
        <v>35</v>
      </c>
      <c r="M169" t="s">
        <v>26</v>
      </c>
      <c r="N169" s="3">
        <f>Table1[[#This Row],[Quantity]]*Table1[[#This Row],[UnitPrice]]*(1-Table1[[#This Row],[Discount]])</f>
        <v>3865.08</v>
      </c>
    </row>
    <row r="170" spans="1:14" x14ac:dyDescent="0.35">
      <c r="A170" s="8">
        <v>1023</v>
      </c>
      <c r="B170" s="2">
        <v>45966</v>
      </c>
      <c r="C170" t="s">
        <v>27</v>
      </c>
      <c r="D170" t="s">
        <v>47</v>
      </c>
      <c r="E170" t="s">
        <v>110</v>
      </c>
      <c r="F170" t="s">
        <v>17</v>
      </c>
      <c r="G170" t="s">
        <v>46</v>
      </c>
      <c r="H170" s="8">
        <v>8</v>
      </c>
      <c r="I170" s="8">
        <v>1142.6600000000001</v>
      </c>
      <c r="J170" s="8">
        <v>0</v>
      </c>
      <c r="K170" s="3">
        <v>9141.2800000000007</v>
      </c>
      <c r="L170" t="s">
        <v>35</v>
      </c>
      <c r="M170" t="s">
        <v>36</v>
      </c>
      <c r="N170" s="3">
        <f>Table1[[#This Row],[Quantity]]*Table1[[#This Row],[UnitPrice]]*(1-Table1[[#This Row],[Discount]])</f>
        <v>9141.2800000000007</v>
      </c>
    </row>
    <row r="171" spans="1:14" x14ac:dyDescent="0.35">
      <c r="A171" s="8">
        <v>1076</v>
      </c>
      <c r="B171" s="2">
        <v>45968</v>
      </c>
      <c r="C171" t="s">
        <v>43</v>
      </c>
      <c r="D171" t="s">
        <v>47</v>
      </c>
      <c r="E171" t="s">
        <v>104</v>
      </c>
      <c r="F171" t="s">
        <v>24</v>
      </c>
      <c r="G171" t="s">
        <v>25</v>
      </c>
      <c r="H171" s="8">
        <v>4</v>
      </c>
      <c r="I171" s="8">
        <v>860.32</v>
      </c>
      <c r="J171" s="8">
        <v>0.05</v>
      </c>
      <c r="K171" s="3">
        <v>3269.22</v>
      </c>
      <c r="L171" t="s">
        <v>35</v>
      </c>
      <c r="M171" t="s">
        <v>36</v>
      </c>
      <c r="N171" s="3">
        <f>Table1[[#This Row],[Quantity]]*Table1[[#This Row],[UnitPrice]]*(1-Table1[[#This Row],[Discount]])</f>
        <v>3269.2159999999999</v>
      </c>
    </row>
    <row r="172" spans="1:14" x14ac:dyDescent="0.35">
      <c r="A172" s="8">
        <v>1280</v>
      </c>
      <c r="B172" s="2">
        <v>45973</v>
      </c>
      <c r="C172" t="s">
        <v>21</v>
      </c>
      <c r="D172" t="s">
        <v>54</v>
      </c>
      <c r="E172" t="s">
        <v>79</v>
      </c>
      <c r="F172" t="s">
        <v>24</v>
      </c>
      <c r="G172" t="s">
        <v>63</v>
      </c>
      <c r="H172" s="8">
        <v>6</v>
      </c>
      <c r="I172" s="8">
        <v>177.72</v>
      </c>
      <c r="J172" s="8">
        <v>0.05</v>
      </c>
      <c r="K172" s="3">
        <v>1013</v>
      </c>
      <c r="L172" t="s">
        <v>39</v>
      </c>
      <c r="M172" t="s">
        <v>36</v>
      </c>
      <c r="N172" s="3">
        <f>Table1[[#This Row],[Quantity]]*Table1[[#This Row],[UnitPrice]]*(1-Table1[[#This Row],[Discount]])</f>
        <v>1013.0039999999999</v>
      </c>
    </row>
    <row r="173" spans="1:14" x14ac:dyDescent="0.35">
      <c r="A173" s="8">
        <v>1089</v>
      </c>
      <c r="B173" s="2">
        <v>45975</v>
      </c>
      <c r="C173" t="s">
        <v>43</v>
      </c>
      <c r="D173" t="s">
        <v>22</v>
      </c>
      <c r="E173" t="s">
        <v>89</v>
      </c>
      <c r="F173" t="s">
        <v>17</v>
      </c>
      <c r="G173" t="s">
        <v>30</v>
      </c>
      <c r="H173" s="8">
        <v>7</v>
      </c>
      <c r="I173" s="8">
        <v>1167.5899999999999</v>
      </c>
      <c r="J173" s="8">
        <v>0</v>
      </c>
      <c r="K173" s="3">
        <v>8173.13</v>
      </c>
      <c r="L173" t="s">
        <v>19</v>
      </c>
      <c r="M173" t="s">
        <v>36</v>
      </c>
      <c r="N173" s="3">
        <f>Table1[[#This Row],[Quantity]]*Table1[[#This Row],[UnitPrice]]*(1-Table1[[#This Row],[Discount]])</f>
        <v>8173.1299999999992</v>
      </c>
    </row>
    <row r="174" spans="1:14" x14ac:dyDescent="0.35">
      <c r="A174" s="8">
        <v>1178</v>
      </c>
      <c r="B174" s="2">
        <v>45977</v>
      </c>
      <c r="C174" t="s">
        <v>27</v>
      </c>
      <c r="D174" t="s">
        <v>28</v>
      </c>
      <c r="E174" t="s">
        <v>51</v>
      </c>
      <c r="F174" t="s">
        <v>24</v>
      </c>
      <c r="G174" t="s">
        <v>38</v>
      </c>
      <c r="H174" s="8">
        <v>1</v>
      </c>
      <c r="I174" s="8">
        <v>778.23</v>
      </c>
      <c r="J174" s="8">
        <v>0.1</v>
      </c>
      <c r="K174" s="3">
        <v>700.41</v>
      </c>
      <c r="L174" t="s">
        <v>39</v>
      </c>
      <c r="M174" t="s">
        <v>20</v>
      </c>
      <c r="N174" s="3">
        <f>Table1[[#This Row],[Quantity]]*Table1[[#This Row],[UnitPrice]]*(1-Table1[[#This Row],[Discount]])</f>
        <v>700.40700000000004</v>
      </c>
    </row>
    <row r="175" spans="1:14" x14ac:dyDescent="0.35">
      <c r="A175" s="8">
        <v>1200</v>
      </c>
      <c r="B175" s="2">
        <v>45978</v>
      </c>
      <c r="C175" t="s">
        <v>43</v>
      </c>
      <c r="D175" t="s">
        <v>22</v>
      </c>
      <c r="E175" t="s">
        <v>85</v>
      </c>
      <c r="F175" t="s">
        <v>17</v>
      </c>
      <c r="G175" t="s">
        <v>18</v>
      </c>
      <c r="H175" s="8">
        <v>14</v>
      </c>
      <c r="I175" s="8">
        <v>173.55</v>
      </c>
      <c r="J175" s="8">
        <v>0.1</v>
      </c>
      <c r="K175" s="3">
        <v>2186.73</v>
      </c>
      <c r="L175" t="s">
        <v>39</v>
      </c>
      <c r="M175" t="s">
        <v>36</v>
      </c>
      <c r="N175" s="3">
        <f>Table1[[#This Row],[Quantity]]*Table1[[#This Row],[UnitPrice]]*(1-Table1[[#This Row],[Discount]])</f>
        <v>2186.7300000000005</v>
      </c>
    </row>
    <row r="176" spans="1:14" x14ac:dyDescent="0.35">
      <c r="A176" s="8">
        <v>1058</v>
      </c>
      <c r="B176" s="2">
        <v>45980</v>
      </c>
      <c r="C176" t="s">
        <v>27</v>
      </c>
      <c r="D176" t="s">
        <v>31</v>
      </c>
      <c r="E176" t="s">
        <v>68</v>
      </c>
      <c r="F176" t="s">
        <v>17</v>
      </c>
      <c r="G176" t="s">
        <v>30</v>
      </c>
      <c r="H176" s="8">
        <v>13</v>
      </c>
      <c r="I176" s="8">
        <v>165.44</v>
      </c>
      <c r="J176" s="8">
        <v>0.05</v>
      </c>
      <c r="K176" s="3">
        <v>2043.18</v>
      </c>
      <c r="L176" t="s">
        <v>35</v>
      </c>
      <c r="M176" t="s">
        <v>36</v>
      </c>
      <c r="N176" s="3">
        <f>Table1[[#This Row],[Quantity]]*Table1[[#This Row],[UnitPrice]]*(1-Table1[[#This Row],[Discount]])</f>
        <v>2043.1839999999997</v>
      </c>
    </row>
    <row r="177" spans="1:14" x14ac:dyDescent="0.35">
      <c r="A177" s="8">
        <v>1032</v>
      </c>
      <c r="B177" s="2">
        <v>45986</v>
      </c>
      <c r="C177" t="s">
        <v>14</v>
      </c>
      <c r="D177" t="s">
        <v>47</v>
      </c>
      <c r="E177" t="s">
        <v>32</v>
      </c>
      <c r="F177" t="s">
        <v>24</v>
      </c>
      <c r="G177" t="s">
        <v>25</v>
      </c>
      <c r="H177" s="8">
        <v>3</v>
      </c>
      <c r="I177" s="8">
        <v>493.51</v>
      </c>
      <c r="J177" s="8">
        <v>0</v>
      </c>
      <c r="K177" s="3">
        <v>1480.53</v>
      </c>
      <c r="L177" t="s">
        <v>35</v>
      </c>
      <c r="M177" t="s">
        <v>36</v>
      </c>
      <c r="N177" s="3">
        <f>Table1[[#This Row],[Quantity]]*Table1[[#This Row],[UnitPrice]]*(1-Table1[[#This Row],[Discount]])</f>
        <v>1480.53</v>
      </c>
    </row>
    <row r="178" spans="1:14" x14ac:dyDescent="0.35">
      <c r="A178" s="8">
        <v>1233</v>
      </c>
      <c r="B178" s="2">
        <v>45987</v>
      </c>
      <c r="C178" t="s">
        <v>43</v>
      </c>
      <c r="D178" t="s">
        <v>54</v>
      </c>
      <c r="E178" t="s">
        <v>100</v>
      </c>
      <c r="F178" t="s">
        <v>33</v>
      </c>
      <c r="G178" t="s">
        <v>61</v>
      </c>
      <c r="H178" s="8">
        <v>3</v>
      </c>
      <c r="I178" s="8">
        <v>720.43</v>
      </c>
      <c r="J178" s="8">
        <v>0.05</v>
      </c>
      <c r="K178" s="3">
        <v>2053.23</v>
      </c>
      <c r="L178" t="s">
        <v>35</v>
      </c>
      <c r="M178" t="s">
        <v>36</v>
      </c>
      <c r="N178" s="3">
        <f>Table1[[#This Row],[Quantity]]*Table1[[#This Row],[UnitPrice]]*(1-Table1[[#This Row],[Discount]])</f>
        <v>2053.2255</v>
      </c>
    </row>
    <row r="179" spans="1:14" x14ac:dyDescent="0.35">
      <c r="A179" s="8">
        <v>1281</v>
      </c>
      <c r="B179" s="2">
        <v>45990</v>
      </c>
      <c r="C179" t="s">
        <v>27</v>
      </c>
      <c r="D179" t="s">
        <v>31</v>
      </c>
      <c r="E179" t="s">
        <v>37</v>
      </c>
      <c r="F179" t="s">
        <v>17</v>
      </c>
      <c r="G179" t="s">
        <v>46</v>
      </c>
      <c r="H179" s="8">
        <v>7</v>
      </c>
      <c r="I179" s="8">
        <v>178.11</v>
      </c>
      <c r="J179" s="8">
        <v>0.1</v>
      </c>
      <c r="K179" s="3">
        <v>1122.0899999999999</v>
      </c>
      <c r="L179" t="s">
        <v>39</v>
      </c>
      <c r="M179" t="s">
        <v>26</v>
      </c>
      <c r="N179" s="3">
        <f>Table1[[#This Row],[Quantity]]*Table1[[#This Row],[UnitPrice]]*(1-Table1[[#This Row],[Discount]])</f>
        <v>1122.0930000000001</v>
      </c>
    </row>
    <row r="180" spans="1:14" x14ac:dyDescent="0.35">
      <c r="A180" s="8">
        <v>1228</v>
      </c>
      <c r="B180" s="2">
        <v>45991</v>
      </c>
      <c r="C180" t="s">
        <v>21</v>
      </c>
      <c r="D180" t="s">
        <v>47</v>
      </c>
      <c r="E180" t="s">
        <v>71</v>
      </c>
      <c r="F180" t="s">
        <v>17</v>
      </c>
      <c r="G180" t="s">
        <v>46</v>
      </c>
      <c r="H180" s="8">
        <v>12</v>
      </c>
      <c r="I180" s="8">
        <v>452.76</v>
      </c>
      <c r="J180" s="8">
        <v>0.15</v>
      </c>
      <c r="K180" s="3">
        <v>4618.1499999999996</v>
      </c>
      <c r="L180" t="s">
        <v>39</v>
      </c>
      <c r="M180" t="s">
        <v>20</v>
      </c>
      <c r="N180" s="3">
        <f>Table1[[#This Row],[Quantity]]*Table1[[#This Row],[UnitPrice]]*(1-Table1[[#This Row],[Discount]])</f>
        <v>4618.152</v>
      </c>
    </row>
    <row r="181" spans="1:14" x14ac:dyDescent="0.35">
      <c r="A181" s="8">
        <v>1225</v>
      </c>
      <c r="B181" s="2">
        <v>45992</v>
      </c>
      <c r="C181" t="s">
        <v>43</v>
      </c>
      <c r="D181" t="s">
        <v>28</v>
      </c>
      <c r="E181" t="s">
        <v>115</v>
      </c>
      <c r="F181" t="s">
        <v>33</v>
      </c>
      <c r="G181" t="s">
        <v>61</v>
      </c>
      <c r="H181" s="8">
        <v>15</v>
      </c>
      <c r="I181" s="8">
        <v>173.11</v>
      </c>
      <c r="J181" s="8">
        <v>0.05</v>
      </c>
      <c r="K181" s="3">
        <v>2466.8200000000002</v>
      </c>
      <c r="L181" t="s">
        <v>19</v>
      </c>
      <c r="M181" t="s">
        <v>26</v>
      </c>
      <c r="N181" s="3">
        <f>Table1[[#This Row],[Quantity]]*Table1[[#This Row],[UnitPrice]]*(1-Table1[[#This Row],[Discount]])</f>
        <v>2466.8175000000001</v>
      </c>
    </row>
    <row r="182" spans="1:14" x14ac:dyDescent="0.35">
      <c r="A182" s="8">
        <v>1209</v>
      </c>
      <c r="B182" s="2">
        <v>45994</v>
      </c>
      <c r="C182" t="s">
        <v>43</v>
      </c>
      <c r="D182" t="s">
        <v>31</v>
      </c>
      <c r="E182" t="s">
        <v>106</v>
      </c>
      <c r="F182" t="s">
        <v>17</v>
      </c>
      <c r="G182" t="s">
        <v>18</v>
      </c>
      <c r="H182" s="8">
        <v>15</v>
      </c>
      <c r="I182" s="8">
        <v>558.47</v>
      </c>
      <c r="J182" s="8">
        <v>0</v>
      </c>
      <c r="K182" s="3">
        <v>8377.0499999999993</v>
      </c>
      <c r="L182" t="s">
        <v>35</v>
      </c>
      <c r="M182" t="s">
        <v>26</v>
      </c>
      <c r="N182" s="3">
        <f>Table1[[#This Row],[Quantity]]*Table1[[#This Row],[UnitPrice]]*(1-Table1[[#This Row],[Discount]])</f>
        <v>8377.0500000000011</v>
      </c>
    </row>
    <row r="183" spans="1:14" x14ac:dyDescent="0.35">
      <c r="A183" s="8">
        <v>1253</v>
      </c>
      <c r="B183" s="2">
        <v>45996</v>
      </c>
      <c r="C183" t="s">
        <v>14</v>
      </c>
      <c r="D183" t="s">
        <v>54</v>
      </c>
      <c r="E183" t="s">
        <v>75</v>
      </c>
      <c r="F183" t="s">
        <v>33</v>
      </c>
      <c r="G183" t="s">
        <v>53</v>
      </c>
      <c r="H183" s="8">
        <v>11</v>
      </c>
      <c r="I183" s="8">
        <v>405.67</v>
      </c>
      <c r="J183" s="8">
        <v>0</v>
      </c>
      <c r="K183" s="3">
        <v>4462.37</v>
      </c>
      <c r="L183" t="s">
        <v>35</v>
      </c>
      <c r="M183" t="s">
        <v>26</v>
      </c>
      <c r="N183" s="3">
        <f>Table1[[#This Row],[Quantity]]*Table1[[#This Row],[UnitPrice]]*(1-Table1[[#This Row],[Discount]])</f>
        <v>4462.37</v>
      </c>
    </row>
    <row r="184" spans="1:14" x14ac:dyDescent="0.35">
      <c r="A184" s="8">
        <v>1056</v>
      </c>
      <c r="B184" s="2">
        <v>45998</v>
      </c>
      <c r="C184" t="s">
        <v>14</v>
      </c>
      <c r="D184" t="s">
        <v>28</v>
      </c>
      <c r="E184" t="s">
        <v>73</v>
      </c>
      <c r="F184" t="s">
        <v>17</v>
      </c>
      <c r="G184" t="s">
        <v>46</v>
      </c>
      <c r="H184" s="8">
        <v>8</v>
      </c>
      <c r="I184" s="8">
        <v>639.70000000000005</v>
      </c>
      <c r="J184" s="8">
        <v>0</v>
      </c>
      <c r="K184" s="3">
        <v>5117.6000000000004</v>
      </c>
      <c r="L184" t="s">
        <v>35</v>
      </c>
      <c r="M184" t="s">
        <v>20</v>
      </c>
      <c r="N184" s="3">
        <f>Table1[[#This Row],[Quantity]]*Table1[[#This Row],[UnitPrice]]*(1-Table1[[#This Row],[Discount]])</f>
        <v>5117.6000000000004</v>
      </c>
    </row>
    <row r="185" spans="1:14" x14ac:dyDescent="0.35">
      <c r="A185" s="8">
        <v>1122</v>
      </c>
      <c r="B185" s="2">
        <v>46000</v>
      </c>
      <c r="C185" t="s">
        <v>14</v>
      </c>
      <c r="D185" t="s">
        <v>31</v>
      </c>
      <c r="E185" t="s">
        <v>32</v>
      </c>
      <c r="F185" t="s">
        <v>24</v>
      </c>
      <c r="G185" t="s">
        <v>63</v>
      </c>
      <c r="H185" s="8">
        <v>7</v>
      </c>
      <c r="I185" s="8">
        <v>161.07</v>
      </c>
      <c r="J185" s="8">
        <v>0</v>
      </c>
      <c r="K185" s="3">
        <v>1127.49</v>
      </c>
      <c r="L185" t="s">
        <v>39</v>
      </c>
      <c r="M185" t="s">
        <v>36</v>
      </c>
      <c r="N185" s="3">
        <f>Table1[[#This Row],[Quantity]]*Table1[[#This Row],[UnitPrice]]*(1-Table1[[#This Row],[Discount]])</f>
        <v>1127.49</v>
      </c>
    </row>
    <row r="186" spans="1:14" x14ac:dyDescent="0.35">
      <c r="A186" s="8">
        <v>1173</v>
      </c>
      <c r="B186" s="2">
        <v>46000</v>
      </c>
      <c r="C186" t="s">
        <v>21</v>
      </c>
      <c r="D186" t="s">
        <v>54</v>
      </c>
      <c r="E186" t="s">
        <v>112</v>
      </c>
      <c r="F186" t="s">
        <v>33</v>
      </c>
      <c r="G186" t="s">
        <v>34</v>
      </c>
      <c r="H186" s="8">
        <v>7</v>
      </c>
      <c r="I186" s="8">
        <v>859.04</v>
      </c>
      <c r="J186" s="8">
        <v>0</v>
      </c>
      <c r="K186" s="3">
        <v>6013.28</v>
      </c>
      <c r="L186" t="s">
        <v>35</v>
      </c>
      <c r="M186" t="s">
        <v>36</v>
      </c>
      <c r="N186" s="3">
        <f>Table1[[#This Row],[Quantity]]*Table1[[#This Row],[UnitPrice]]*(1-Table1[[#This Row],[Discount]])</f>
        <v>6013.28</v>
      </c>
    </row>
    <row r="187" spans="1:14" x14ac:dyDescent="0.35">
      <c r="A187" s="8">
        <v>1070</v>
      </c>
      <c r="B187" s="2">
        <v>46003</v>
      </c>
      <c r="C187" t="s">
        <v>27</v>
      </c>
      <c r="D187" t="s">
        <v>22</v>
      </c>
      <c r="E187" t="s">
        <v>116</v>
      </c>
      <c r="F187" t="s">
        <v>33</v>
      </c>
      <c r="G187" t="s">
        <v>34</v>
      </c>
      <c r="H187" s="8">
        <v>9</v>
      </c>
      <c r="I187" s="8">
        <v>543.92999999999995</v>
      </c>
      <c r="J187" s="8">
        <v>0.1</v>
      </c>
      <c r="K187" s="3">
        <v>4405.83</v>
      </c>
      <c r="L187" t="s">
        <v>19</v>
      </c>
      <c r="M187" t="s">
        <v>36</v>
      </c>
      <c r="N187" s="3">
        <f>Table1[[#This Row],[Quantity]]*Table1[[#This Row],[UnitPrice]]*(1-Table1[[#This Row],[Discount]])</f>
        <v>4405.8329999999996</v>
      </c>
    </row>
    <row r="188" spans="1:14" x14ac:dyDescent="0.35">
      <c r="A188" s="8">
        <v>1279</v>
      </c>
      <c r="B188" s="2">
        <v>46003</v>
      </c>
      <c r="C188" t="s">
        <v>21</v>
      </c>
      <c r="D188" t="s">
        <v>31</v>
      </c>
      <c r="E188" t="s">
        <v>92</v>
      </c>
      <c r="F188" t="s">
        <v>33</v>
      </c>
      <c r="G188" t="s">
        <v>61</v>
      </c>
      <c r="H188" s="8">
        <v>9</v>
      </c>
      <c r="I188" s="8">
        <v>1016.59</v>
      </c>
      <c r="J188" s="8">
        <v>0.15</v>
      </c>
      <c r="K188" s="3">
        <v>7776.91</v>
      </c>
      <c r="L188" t="s">
        <v>19</v>
      </c>
      <c r="M188" t="s">
        <v>20</v>
      </c>
      <c r="N188" s="3">
        <f>Table1[[#This Row],[Quantity]]*Table1[[#This Row],[UnitPrice]]*(1-Table1[[#This Row],[Discount]])</f>
        <v>7776.9134999999997</v>
      </c>
    </row>
    <row r="189" spans="1:14" x14ac:dyDescent="0.35">
      <c r="A189" s="8">
        <v>1157</v>
      </c>
      <c r="B189" s="2">
        <v>46006</v>
      </c>
      <c r="C189" t="s">
        <v>27</v>
      </c>
      <c r="D189" t="s">
        <v>47</v>
      </c>
      <c r="E189" t="s">
        <v>117</v>
      </c>
      <c r="F189" t="s">
        <v>24</v>
      </c>
      <c r="G189" t="s">
        <v>63</v>
      </c>
      <c r="H189" s="8">
        <v>15</v>
      </c>
      <c r="I189" s="8">
        <v>269.54000000000002</v>
      </c>
      <c r="J189" s="8">
        <v>0.15</v>
      </c>
      <c r="K189" s="3">
        <v>3436.64</v>
      </c>
      <c r="L189" t="s">
        <v>35</v>
      </c>
      <c r="M189" t="s">
        <v>20</v>
      </c>
      <c r="N189" s="3">
        <f>Table1[[#This Row],[Quantity]]*Table1[[#This Row],[UnitPrice]]*(1-Table1[[#This Row],[Discount]])</f>
        <v>3436.6350000000002</v>
      </c>
    </row>
    <row r="190" spans="1:14" x14ac:dyDescent="0.35">
      <c r="A190" s="8">
        <v>1163</v>
      </c>
      <c r="B190" s="2">
        <v>46009</v>
      </c>
      <c r="C190" t="s">
        <v>14</v>
      </c>
      <c r="D190" t="s">
        <v>28</v>
      </c>
      <c r="E190" t="s">
        <v>82</v>
      </c>
      <c r="F190" t="s">
        <v>33</v>
      </c>
      <c r="G190" t="s">
        <v>34</v>
      </c>
      <c r="H190" s="8">
        <v>10</v>
      </c>
      <c r="I190" s="8">
        <v>680.99</v>
      </c>
      <c r="J190" s="8">
        <v>0.15</v>
      </c>
      <c r="K190" s="3">
        <v>5788.41</v>
      </c>
      <c r="L190" t="s">
        <v>39</v>
      </c>
      <c r="M190" t="s">
        <v>26</v>
      </c>
      <c r="N190" s="3">
        <f>Table1[[#This Row],[Quantity]]*Table1[[#This Row],[UnitPrice]]*(1-Table1[[#This Row],[Discount]])</f>
        <v>5788.415</v>
      </c>
    </row>
    <row r="191" spans="1:14" x14ac:dyDescent="0.35">
      <c r="A191" s="8">
        <v>1094</v>
      </c>
      <c r="B191" s="2">
        <v>46011</v>
      </c>
      <c r="C191" t="s">
        <v>21</v>
      </c>
      <c r="D191" t="s">
        <v>28</v>
      </c>
      <c r="E191" t="s">
        <v>84</v>
      </c>
      <c r="F191" t="s">
        <v>24</v>
      </c>
      <c r="G191" t="s">
        <v>38</v>
      </c>
      <c r="H191" s="8">
        <v>14</v>
      </c>
      <c r="I191" s="8">
        <v>587.35</v>
      </c>
      <c r="J191" s="8">
        <v>0.05</v>
      </c>
      <c r="K191" s="3">
        <v>7811.75</v>
      </c>
      <c r="L191" t="s">
        <v>39</v>
      </c>
      <c r="M191" t="s">
        <v>26</v>
      </c>
      <c r="N191" s="3">
        <f>Table1[[#This Row],[Quantity]]*Table1[[#This Row],[UnitPrice]]*(1-Table1[[#This Row],[Discount]])</f>
        <v>7811.7549999999992</v>
      </c>
    </row>
    <row r="192" spans="1:14" x14ac:dyDescent="0.35">
      <c r="A192" s="8">
        <v>1263</v>
      </c>
      <c r="B192" s="2">
        <v>46011</v>
      </c>
      <c r="C192" t="s">
        <v>14</v>
      </c>
      <c r="D192" t="s">
        <v>15</v>
      </c>
      <c r="E192" t="s">
        <v>74</v>
      </c>
      <c r="F192" t="s">
        <v>17</v>
      </c>
      <c r="G192" t="s">
        <v>30</v>
      </c>
      <c r="H192" s="8">
        <v>5</v>
      </c>
      <c r="I192" s="8">
        <v>1052.71</v>
      </c>
      <c r="J192" s="8">
        <v>0.15</v>
      </c>
      <c r="K192" s="3">
        <v>4474.0200000000004</v>
      </c>
      <c r="L192" t="s">
        <v>35</v>
      </c>
      <c r="M192" t="s">
        <v>36</v>
      </c>
      <c r="N192" s="3">
        <f>Table1[[#This Row],[Quantity]]*Table1[[#This Row],[UnitPrice]]*(1-Table1[[#This Row],[Discount]])</f>
        <v>4474.0174999999999</v>
      </c>
    </row>
    <row r="193" spans="1:14" x14ac:dyDescent="0.35">
      <c r="A193" s="8">
        <v>1130</v>
      </c>
      <c r="B193" s="2">
        <v>46013</v>
      </c>
      <c r="C193" t="s">
        <v>27</v>
      </c>
      <c r="D193" t="s">
        <v>15</v>
      </c>
      <c r="E193" t="s">
        <v>55</v>
      </c>
      <c r="F193" t="s">
        <v>33</v>
      </c>
      <c r="G193" t="s">
        <v>61</v>
      </c>
      <c r="H193" s="8">
        <v>10</v>
      </c>
      <c r="I193" s="8">
        <v>440.81</v>
      </c>
      <c r="J193" s="8">
        <v>0.15</v>
      </c>
      <c r="K193" s="3">
        <v>3746.89</v>
      </c>
      <c r="L193" t="s">
        <v>19</v>
      </c>
      <c r="M193" t="s">
        <v>26</v>
      </c>
      <c r="N193" s="3">
        <f>Table1[[#This Row],[Quantity]]*Table1[[#This Row],[UnitPrice]]*(1-Table1[[#This Row],[Discount]])</f>
        <v>3746.8850000000002</v>
      </c>
    </row>
    <row r="194" spans="1:14" x14ac:dyDescent="0.35">
      <c r="A194" s="8">
        <v>1057</v>
      </c>
      <c r="B194" s="2">
        <v>46014</v>
      </c>
      <c r="C194" t="s">
        <v>27</v>
      </c>
      <c r="D194" t="s">
        <v>54</v>
      </c>
      <c r="E194" t="s">
        <v>44</v>
      </c>
      <c r="F194" t="s">
        <v>33</v>
      </c>
      <c r="G194" t="s">
        <v>34</v>
      </c>
      <c r="H194" s="8">
        <v>9</v>
      </c>
      <c r="I194" s="8">
        <v>43.43</v>
      </c>
      <c r="J194" s="8">
        <v>0.15</v>
      </c>
      <c r="K194" s="3">
        <v>332.24</v>
      </c>
      <c r="L194" t="s">
        <v>19</v>
      </c>
      <c r="M194" t="s">
        <v>20</v>
      </c>
      <c r="N194" s="3">
        <f>Table1[[#This Row],[Quantity]]*Table1[[#This Row],[UnitPrice]]*(1-Table1[[#This Row],[Discount]])</f>
        <v>332.23950000000002</v>
      </c>
    </row>
    <row r="195" spans="1:14" x14ac:dyDescent="0.35">
      <c r="A195" s="8">
        <v>1252</v>
      </c>
      <c r="B195" s="2">
        <v>46014</v>
      </c>
      <c r="C195" t="s">
        <v>27</v>
      </c>
      <c r="D195" t="s">
        <v>28</v>
      </c>
      <c r="E195" t="s">
        <v>102</v>
      </c>
      <c r="F195" t="s">
        <v>24</v>
      </c>
      <c r="G195" t="s">
        <v>63</v>
      </c>
      <c r="H195" s="8">
        <v>11</v>
      </c>
      <c r="I195" s="8">
        <v>597.44000000000005</v>
      </c>
      <c r="J195" s="8">
        <v>0.1</v>
      </c>
      <c r="K195" s="3">
        <v>5914.66</v>
      </c>
      <c r="L195" t="s">
        <v>39</v>
      </c>
      <c r="M195" t="s">
        <v>36</v>
      </c>
      <c r="N195" s="3">
        <f>Table1[[#This Row],[Quantity]]*Table1[[#This Row],[UnitPrice]]*(1-Table1[[#This Row],[Discount]])</f>
        <v>5914.6559999999999</v>
      </c>
    </row>
    <row r="196" spans="1:14" x14ac:dyDescent="0.35">
      <c r="A196" s="8">
        <v>1065</v>
      </c>
      <c r="B196" s="2">
        <v>46015</v>
      </c>
      <c r="C196" t="s">
        <v>21</v>
      </c>
      <c r="D196" t="s">
        <v>31</v>
      </c>
      <c r="E196" t="s">
        <v>108</v>
      </c>
      <c r="F196" t="s">
        <v>17</v>
      </c>
      <c r="G196" t="s">
        <v>30</v>
      </c>
      <c r="H196" s="8">
        <v>13</v>
      </c>
      <c r="I196" s="8">
        <v>1000.28</v>
      </c>
      <c r="J196" s="8">
        <v>0.15</v>
      </c>
      <c r="K196" s="3">
        <v>11053.09</v>
      </c>
      <c r="L196" t="s">
        <v>39</v>
      </c>
      <c r="M196" t="s">
        <v>36</v>
      </c>
      <c r="N196" s="3">
        <f>Table1[[#This Row],[Quantity]]*Table1[[#This Row],[UnitPrice]]*(1-Table1[[#This Row],[Discount]])</f>
        <v>11053.093999999999</v>
      </c>
    </row>
    <row r="197" spans="1:14" x14ac:dyDescent="0.35">
      <c r="A197" s="8">
        <v>1136</v>
      </c>
      <c r="B197" s="2">
        <v>46017</v>
      </c>
      <c r="C197" t="s">
        <v>21</v>
      </c>
      <c r="D197" t="s">
        <v>22</v>
      </c>
      <c r="E197" t="s">
        <v>62</v>
      </c>
      <c r="F197" t="s">
        <v>17</v>
      </c>
      <c r="G197" t="s">
        <v>46</v>
      </c>
      <c r="H197" s="8">
        <v>15</v>
      </c>
      <c r="I197" s="8">
        <v>628.37</v>
      </c>
      <c r="J197" s="8">
        <v>0.1</v>
      </c>
      <c r="K197" s="3">
        <v>8482.99</v>
      </c>
      <c r="L197" t="s">
        <v>39</v>
      </c>
      <c r="M197" t="s">
        <v>36</v>
      </c>
      <c r="N197" s="3">
        <f>Table1[[#This Row],[Quantity]]*Table1[[#This Row],[UnitPrice]]*(1-Table1[[#This Row],[Discount]])</f>
        <v>8482.994999999999</v>
      </c>
    </row>
    <row r="198" spans="1:14" x14ac:dyDescent="0.35">
      <c r="A198" s="8">
        <v>1097</v>
      </c>
      <c r="B198" s="2">
        <v>46025</v>
      </c>
      <c r="C198" t="s">
        <v>43</v>
      </c>
      <c r="D198" t="s">
        <v>15</v>
      </c>
      <c r="E198" t="s">
        <v>80</v>
      </c>
      <c r="F198" t="s">
        <v>17</v>
      </c>
      <c r="G198" t="s">
        <v>18</v>
      </c>
      <c r="H198" s="8">
        <v>5</v>
      </c>
      <c r="I198" s="8">
        <v>816.74</v>
      </c>
      <c r="J198" s="8">
        <v>0.1</v>
      </c>
      <c r="K198" s="3">
        <v>3675.33</v>
      </c>
      <c r="L198" t="s">
        <v>19</v>
      </c>
      <c r="M198" t="s">
        <v>36</v>
      </c>
      <c r="N198" s="3">
        <f>Table1[[#This Row],[Quantity]]*Table1[[#This Row],[UnitPrice]]*(1-Table1[[#This Row],[Discount]])</f>
        <v>3675.33</v>
      </c>
    </row>
    <row r="199" spans="1:14" x14ac:dyDescent="0.35">
      <c r="A199" s="8">
        <v>1009</v>
      </c>
      <c r="B199" s="2">
        <v>46026</v>
      </c>
      <c r="C199" t="s">
        <v>43</v>
      </c>
      <c r="D199" t="s">
        <v>15</v>
      </c>
      <c r="E199" t="s">
        <v>111</v>
      </c>
      <c r="F199" t="s">
        <v>33</v>
      </c>
      <c r="G199" t="s">
        <v>53</v>
      </c>
      <c r="H199" s="8">
        <v>6</v>
      </c>
      <c r="I199" s="8">
        <v>418.1</v>
      </c>
      <c r="J199" s="8">
        <v>0.05</v>
      </c>
      <c r="K199" s="3">
        <v>2383.17</v>
      </c>
      <c r="L199" t="s">
        <v>35</v>
      </c>
      <c r="M199" t="s">
        <v>36</v>
      </c>
      <c r="N199" s="3">
        <f>Table1[[#This Row],[Quantity]]*Table1[[#This Row],[UnitPrice]]*(1-Table1[[#This Row],[Discount]])</f>
        <v>2383.17</v>
      </c>
    </row>
    <row r="200" spans="1:14" x14ac:dyDescent="0.35">
      <c r="A200" s="8">
        <v>1140</v>
      </c>
      <c r="B200" s="2">
        <v>46026</v>
      </c>
      <c r="C200" t="s">
        <v>27</v>
      </c>
      <c r="D200" t="s">
        <v>28</v>
      </c>
      <c r="E200" t="s">
        <v>41</v>
      </c>
      <c r="F200" t="s">
        <v>33</v>
      </c>
      <c r="G200" t="s">
        <v>34</v>
      </c>
      <c r="H200" s="8">
        <v>13</v>
      </c>
      <c r="I200" s="8">
        <v>284.39999999999998</v>
      </c>
      <c r="J200" s="8">
        <v>0.05</v>
      </c>
      <c r="K200" s="3">
        <v>3512.34</v>
      </c>
      <c r="L200" t="s">
        <v>19</v>
      </c>
      <c r="M200" t="s">
        <v>36</v>
      </c>
      <c r="N200" s="3">
        <f>Table1[[#This Row],[Quantity]]*Table1[[#This Row],[UnitPrice]]*(1-Table1[[#This Row],[Discount]])</f>
        <v>3512.3399999999997</v>
      </c>
    </row>
    <row r="201" spans="1:14" x14ac:dyDescent="0.35">
      <c r="A201" s="8">
        <v>1224</v>
      </c>
      <c r="B201" s="2">
        <v>46027</v>
      </c>
      <c r="C201" t="s">
        <v>43</v>
      </c>
      <c r="D201" t="s">
        <v>22</v>
      </c>
      <c r="E201" t="s">
        <v>79</v>
      </c>
      <c r="F201" t="s">
        <v>17</v>
      </c>
      <c r="G201" t="s">
        <v>30</v>
      </c>
      <c r="H201" s="8">
        <v>4</v>
      </c>
      <c r="I201" s="8">
        <v>1032.07</v>
      </c>
      <c r="J201" s="8">
        <v>0.05</v>
      </c>
      <c r="K201" s="3">
        <v>3921.87</v>
      </c>
      <c r="L201" t="s">
        <v>19</v>
      </c>
      <c r="M201" t="s">
        <v>36</v>
      </c>
      <c r="N201" s="3">
        <f>Table1[[#This Row],[Quantity]]*Table1[[#This Row],[UnitPrice]]*(1-Table1[[#This Row],[Discount]])</f>
        <v>3921.8659999999995</v>
      </c>
    </row>
    <row r="202" spans="1:14" x14ac:dyDescent="0.35">
      <c r="A202" s="8">
        <v>1145</v>
      </c>
      <c r="B202" s="2">
        <v>46028</v>
      </c>
      <c r="C202" t="s">
        <v>43</v>
      </c>
      <c r="D202" t="s">
        <v>31</v>
      </c>
      <c r="E202" t="s">
        <v>92</v>
      </c>
      <c r="F202" t="s">
        <v>17</v>
      </c>
      <c r="G202" t="s">
        <v>18</v>
      </c>
      <c r="H202" s="8">
        <v>14</v>
      </c>
      <c r="I202" s="8">
        <v>341.26</v>
      </c>
      <c r="J202" s="8">
        <v>0.05</v>
      </c>
      <c r="K202" s="3">
        <v>4538.76</v>
      </c>
      <c r="L202" t="s">
        <v>19</v>
      </c>
      <c r="M202" t="s">
        <v>20</v>
      </c>
      <c r="N202" s="3">
        <f>Table1[[#This Row],[Quantity]]*Table1[[#This Row],[UnitPrice]]*(1-Table1[[#This Row],[Discount]])</f>
        <v>4538.7579999999989</v>
      </c>
    </row>
    <row r="203" spans="1:14" x14ac:dyDescent="0.35">
      <c r="A203" s="8">
        <v>1146</v>
      </c>
      <c r="B203" s="2">
        <v>46030</v>
      </c>
      <c r="C203" t="s">
        <v>21</v>
      </c>
      <c r="D203" t="s">
        <v>31</v>
      </c>
      <c r="E203" t="s">
        <v>114</v>
      </c>
      <c r="F203" t="s">
        <v>17</v>
      </c>
      <c r="G203" t="s">
        <v>30</v>
      </c>
      <c r="H203" s="8">
        <v>1</v>
      </c>
      <c r="I203" s="8">
        <v>536.55999999999995</v>
      </c>
      <c r="J203" s="8">
        <v>0.1</v>
      </c>
      <c r="K203" s="3">
        <v>482.9</v>
      </c>
      <c r="L203" t="s">
        <v>35</v>
      </c>
      <c r="M203" t="s">
        <v>20</v>
      </c>
      <c r="N203" s="3">
        <f>Table1[[#This Row],[Quantity]]*Table1[[#This Row],[UnitPrice]]*(1-Table1[[#This Row],[Discount]])</f>
        <v>482.90399999999994</v>
      </c>
    </row>
    <row r="204" spans="1:14" x14ac:dyDescent="0.35">
      <c r="A204" s="8">
        <v>1041</v>
      </c>
      <c r="B204" s="2">
        <v>46031</v>
      </c>
      <c r="C204" t="s">
        <v>27</v>
      </c>
      <c r="D204" t="s">
        <v>54</v>
      </c>
      <c r="E204" t="s">
        <v>72</v>
      </c>
      <c r="F204" t="s">
        <v>33</v>
      </c>
      <c r="G204" t="s">
        <v>53</v>
      </c>
      <c r="H204" s="8">
        <v>2</v>
      </c>
      <c r="I204" s="8">
        <v>24.82</v>
      </c>
      <c r="J204" s="8">
        <v>0.15</v>
      </c>
      <c r="K204" s="3">
        <v>42.19</v>
      </c>
      <c r="L204" t="s">
        <v>39</v>
      </c>
      <c r="M204" t="s">
        <v>26</v>
      </c>
      <c r="N204" s="3">
        <f>Table1[[#This Row],[Quantity]]*Table1[[#This Row],[UnitPrice]]*(1-Table1[[#This Row],[Discount]])</f>
        <v>42.194000000000003</v>
      </c>
    </row>
    <row r="205" spans="1:14" x14ac:dyDescent="0.35">
      <c r="A205" s="8">
        <v>1205</v>
      </c>
      <c r="B205" s="2">
        <v>46031</v>
      </c>
      <c r="C205" t="s">
        <v>21</v>
      </c>
      <c r="D205" t="s">
        <v>28</v>
      </c>
      <c r="E205" t="s">
        <v>51</v>
      </c>
      <c r="F205" t="s">
        <v>33</v>
      </c>
      <c r="G205" t="s">
        <v>53</v>
      </c>
      <c r="H205" s="8">
        <v>2</v>
      </c>
      <c r="I205" s="8">
        <v>919.46</v>
      </c>
      <c r="J205" s="8">
        <v>0.05</v>
      </c>
      <c r="K205" s="3">
        <v>1746.97</v>
      </c>
      <c r="L205" t="s">
        <v>19</v>
      </c>
      <c r="M205" t="s">
        <v>26</v>
      </c>
      <c r="N205" s="3">
        <f>Table1[[#This Row],[Quantity]]*Table1[[#This Row],[UnitPrice]]*(1-Table1[[#This Row],[Discount]])</f>
        <v>1746.9739999999999</v>
      </c>
    </row>
    <row r="206" spans="1:14" x14ac:dyDescent="0.35">
      <c r="A206" s="8">
        <v>1077</v>
      </c>
      <c r="B206" s="2">
        <v>46032</v>
      </c>
      <c r="C206" t="s">
        <v>21</v>
      </c>
      <c r="D206" t="s">
        <v>28</v>
      </c>
      <c r="E206" t="s">
        <v>118</v>
      </c>
      <c r="F206" t="s">
        <v>33</v>
      </c>
      <c r="G206" t="s">
        <v>53</v>
      </c>
      <c r="H206" s="8">
        <v>9</v>
      </c>
      <c r="I206" s="8">
        <v>819.45</v>
      </c>
      <c r="J206" s="8">
        <v>0.1</v>
      </c>
      <c r="K206" s="3">
        <v>6637.55</v>
      </c>
      <c r="L206" t="s">
        <v>39</v>
      </c>
      <c r="M206" t="s">
        <v>36</v>
      </c>
      <c r="N206" s="3">
        <f>Table1[[#This Row],[Quantity]]*Table1[[#This Row],[UnitPrice]]*(1-Table1[[#This Row],[Discount]])</f>
        <v>6637.5450000000001</v>
      </c>
    </row>
    <row r="207" spans="1:14" x14ac:dyDescent="0.35">
      <c r="A207" s="8">
        <v>1121</v>
      </c>
      <c r="B207" s="2">
        <v>46032</v>
      </c>
      <c r="C207" t="s">
        <v>27</v>
      </c>
      <c r="D207" t="s">
        <v>54</v>
      </c>
      <c r="E207" t="s">
        <v>29</v>
      </c>
      <c r="F207" t="s">
        <v>24</v>
      </c>
      <c r="G207" t="s">
        <v>25</v>
      </c>
      <c r="H207" s="8">
        <v>3</v>
      </c>
      <c r="I207" s="8">
        <v>78.92</v>
      </c>
      <c r="J207" s="8">
        <v>0.15</v>
      </c>
      <c r="K207" s="3">
        <v>201.25</v>
      </c>
      <c r="L207" t="s">
        <v>19</v>
      </c>
      <c r="M207" t="s">
        <v>36</v>
      </c>
      <c r="N207" s="3">
        <f>Table1[[#This Row],[Quantity]]*Table1[[#This Row],[UnitPrice]]*(1-Table1[[#This Row],[Discount]])</f>
        <v>201.24599999999998</v>
      </c>
    </row>
    <row r="208" spans="1:14" x14ac:dyDescent="0.35">
      <c r="A208" s="8">
        <v>1264</v>
      </c>
      <c r="B208" s="2">
        <v>46032</v>
      </c>
      <c r="C208" t="s">
        <v>21</v>
      </c>
      <c r="D208" t="s">
        <v>28</v>
      </c>
      <c r="E208" t="s">
        <v>78</v>
      </c>
      <c r="F208" t="s">
        <v>24</v>
      </c>
      <c r="G208" t="s">
        <v>63</v>
      </c>
      <c r="H208" s="8">
        <v>14</v>
      </c>
      <c r="I208" s="8">
        <v>947.28</v>
      </c>
      <c r="J208" s="8">
        <v>0.05</v>
      </c>
      <c r="K208" s="3">
        <v>12598.82</v>
      </c>
      <c r="L208" t="s">
        <v>35</v>
      </c>
      <c r="M208" t="s">
        <v>36</v>
      </c>
      <c r="N208" s="3">
        <f>Table1[[#This Row],[Quantity]]*Table1[[#This Row],[UnitPrice]]*(1-Table1[[#This Row],[Discount]])</f>
        <v>12598.823999999999</v>
      </c>
    </row>
    <row r="209" spans="1:14" x14ac:dyDescent="0.35">
      <c r="A209" s="8">
        <v>1294</v>
      </c>
      <c r="B209" s="2">
        <v>46035</v>
      </c>
      <c r="C209" t="s">
        <v>43</v>
      </c>
      <c r="D209" t="s">
        <v>31</v>
      </c>
      <c r="E209" t="s">
        <v>118</v>
      </c>
      <c r="F209" t="s">
        <v>17</v>
      </c>
      <c r="G209" t="s">
        <v>18</v>
      </c>
      <c r="H209" s="8">
        <v>6</v>
      </c>
      <c r="I209" s="8">
        <v>348.5</v>
      </c>
      <c r="J209" s="8">
        <v>0</v>
      </c>
      <c r="K209" s="3">
        <v>2091</v>
      </c>
      <c r="L209" t="s">
        <v>39</v>
      </c>
      <c r="M209" t="s">
        <v>20</v>
      </c>
      <c r="N209" s="3">
        <f>Table1[[#This Row],[Quantity]]*Table1[[#This Row],[UnitPrice]]*(1-Table1[[#This Row],[Discount]])</f>
        <v>2091</v>
      </c>
    </row>
    <row r="210" spans="1:14" x14ac:dyDescent="0.35">
      <c r="A210" s="8">
        <v>1133</v>
      </c>
      <c r="B210" s="2">
        <v>46036</v>
      </c>
      <c r="C210" t="s">
        <v>14</v>
      </c>
      <c r="D210" t="s">
        <v>15</v>
      </c>
      <c r="E210" t="s">
        <v>86</v>
      </c>
      <c r="F210" t="s">
        <v>24</v>
      </c>
      <c r="G210" t="s">
        <v>38</v>
      </c>
      <c r="H210" s="8">
        <v>10</v>
      </c>
      <c r="I210" s="8">
        <v>1088.83</v>
      </c>
      <c r="J210" s="8">
        <v>0.1</v>
      </c>
      <c r="K210" s="3">
        <v>9799.4699999999993</v>
      </c>
      <c r="L210" t="s">
        <v>19</v>
      </c>
      <c r="M210" t="s">
        <v>36</v>
      </c>
      <c r="N210" s="3">
        <f>Table1[[#This Row],[Quantity]]*Table1[[#This Row],[UnitPrice]]*(1-Table1[[#This Row],[Discount]])</f>
        <v>9799.4699999999993</v>
      </c>
    </row>
    <row r="211" spans="1:14" x14ac:dyDescent="0.35">
      <c r="A211" s="8">
        <v>1278</v>
      </c>
      <c r="B211" s="2">
        <v>46036</v>
      </c>
      <c r="C211" t="s">
        <v>27</v>
      </c>
      <c r="D211" t="s">
        <v>31</v>
      </c>
      <c r="E211" t="s">
        <v>119</v>
      </c>
      <c r="F211" t="s">
        <v>33</v>
      </c>
      <c r="G211" t="s">
        <v>61</v>
      </c>
      <c r="H211" s="8">
        <v>4</v>
      </c>
      <c r="I211" s="8">
        <v>209.36</v>
      </c>
      <c r="J211" s="8">
        <v>0</v>
      </c>
      <c r="K211" s="3">
        <v>837.44</v>
      </c>
      <c r="L211" t="s">
        <v>35</v>
      </c>
      <c r="M211" t="s">
        <v>20</v>
      </c>
      <c r="N211" s="3">
        <f>Table1[[#This Row],[Quantity]]*Table1[[#This Row],[UnitPrice]]*(1-Table1[[#This Row],[Discount]])</f>
        <v>837.44</v>
      </c>
    </row>
    <row r="212" spans="1:14" x14ac:dyDescent="0.35">
      <c r="A212" s="8">
        <v>1179</v>
      </c>
      <c r="B212" s="2">
        <v>46038</v>
      </c>
      <c r="C212" t="s">
        <v>21</v>
      </c>
      <c r="D212" t="s">
        <v>22</v>
      </c>
      <c r="E212" t="s">
        <v>115</v>
      </c>
      <c r="F212" t="s">
        <v>17</v>
      </c>
      <c r="G212" t="s">
        <v>46</v>
      </c>
      <c r="H212" s="8">
        <v>13</v>
      </c>
      <c r="I212" s="8">
        <v>337.8</v>
      </c>
      <c r="J212" s="8">
        <v>0.05</v>
      </c>
      <c r="K212" s="3">
        <v>4171.83</v>
      </c>
      <c r="L212" t="s">
        <v>19</v>
      </c>
      <c r="M212" t="s">
        <v>36</v>
      </c>
      <c r="N212" s="3">
        <f>Table1[[#This Row],[Quantity]]*Table1[[#This Row],[UnitPrice]]*(1-Table1[[#This Row],[Discount]])</f>
        <v>4171.83</v>
      </c>
    </row>
    <row r="213" spans="1:14" x14ac:dyDescent="0.35">
      <c r="A213" s="8">
        <v>1192</v>
      </c>
      <c r="B213" s="2">
        <v>46038</v>
      </c>
      <c r="C213" t="s">
        <v>14</v>
      </c>
      <c r="D213" t="s">
        <v>28</v>
      </c>
      <c r="E213" t="s">
        <v>112</v>
      </c>
      <c r="F213" t="s">
        <v>24</v>
      </c>
      <c r="G213" t="s">
        <v>63</v>
      </c>
      <c r="H213" s="8">
        <v>10</v>
      </c>
      <c r="I213" s="8">
        <v>825.57</v>
      </c>
      <c r="J213" s="8">
        <v>0.05</v>
      </c>
      <c r="K213" s="3">
        <v>7842.91</v>
      </c>
      <c r="L213" t="s">
        <v>39</v>
      </c>
      <c r="M213" t="s">
        <v>26</v>
      </c>
      <c r="N213" s="3">
        <f>Table1[[#This Row],[Quantity]]*Table1[[#This Row],[UnitPrice]]*(1-Table1[[#This Row],[Discount]])</f>
        <v>7842.915</v>
      </c>
    </row>
    <row r="214" spans="1:14" x14ac:dyDescent="0.35">
      <c r="A214" s="8">
        <v>1150</v>
      </c>
      <c r="B214" s="2">
        <v>46039</v>
      </c>
      <c r="C214" t="s">
        <v>21</v>
      </c>
      <c r="D214" t="s">
        <v>54</v>
      </c>
      <c r="E214" t="s">
        <v>84</v>
      </c>
      <c r="F214" t="s">
        <v>17</v>
      </c>
      <c r="G214" t="s">
        <v>30</v>
      </c>
      <c r="H214" s="8">
        <v>10</v>
      </c>
      <c r="I214" s="8">
        <v>293.95</v>
      </c>
      <c r="J214" s="8">
        <v>0</v>
      </c>
      <c r="K214" s="3">
        <v>2939.5</v>
      </c>
      <c r="L214" t="s">
        <v>19</v>
      </c>
      <c r="M214" t="s">
        <v>26</v>
      </c>
      <c r="N214" s="3">
        <f>Table1[[#This Row],[Quantity]]*Table1[[#This Row],[UnitPrice]]*(1-Table1[[#This Row],[Discount]])</f>
        <v>2939.5</v>
      </c>
    </row>
    <row r="215" spans="1:14" x14ac:dyDescent="0.35">
      <c r="A215" s="8">
        <v>1213</v>
      </c>
      <c r="B215" s="2">
        <v>46049</v>
      </c>
      <c r="C215" t="s">
        <v>14</v>
      </c>
      <c r="D215" t="s">
        <v>31</v>
      </c>
      <c r="E215" t="s">
        <v>115</v>
      </c>
      <c r="F215" t="s">
        <v>24</v>
      </c>
      <c r="G215" t="s">
        <v>38</v>
      </c>
      <c r="H215" s="8">
        <v>11</v>
      </c>
      <c r="I215" s="8">
        <v>920.43</v>
      </c>
      <c r="J215" s="8">
        <v>0.15</v>
      </c>
      <c r="K215" s="3">
        <v>8606.02</v>
      </c>
      <c r="L215" t="s">
        <v>19</v>
      </c>
      <c r="M215" t="s">
        <v>26</v>
      </c>
      <c r="N215" s="3">
        <f>Table1[[#This Row],[Quantity]]*Table1[[#This Row],[UnitPrice]]*(1-Table1[[#This Row],[Discount]])</f>
        <v>8606.0204999999987</v>
      </c>
    </row>
    <row r="216" spans="1:14" x14ac:dyDescent="0.35">
      <c r="A216" s="8">
        <v>1016</v>
      </c>
      <c r="B216" s="2">
        <v>46050</v>
      </c>
      <c r="C216" t="s">
        <v>21</v>
      </c>
      <c r="D216" t="s">
        <v>31</v>
      </c>
      <c r="E216" t="s">
        <v>67</v>
      </c>
      <c r="F216" t="s">
        <v>33</v>
      </c>
      <c r="G216" t="s">
        <v>61</v>
      </c>
      <c r="H216" s="8">
        <v>15</v>
      </c>
      <c r="I216" s="8">
        <v>1045.4100000000001</v>
      </c>
      <c r="J216" s="8">
        <v>0</v>
      </c>
      <c r="K216" s="3">
        <v>15681.15</v>
      </c>
      <c r="L216" t="s">
        <v>19</v>
      </c>
      <c r="M216" t="s">
        <v>26</v>
      </c>
      <c r="N216" s="3">
        <f>Table1[[#This Row],[Quantity]]*Table1[[#This Row],[UnitPrice]]*(1-Table1[[#This Row],[Discount]])</f>
        <v>15681.150000000001</v>
      </c>
    </row>
    <row r="217" spans="1:14" x14ac:dyDescent="0.35">
      <c r="A217" s="8">
        <v>1211</v>
      </c>
      <c r="B217" s="2">
        <v>46053</v>
      </c>
      <c r="C217" t="s">
        <v>27</v>
      </c>
      <c r="D217" t="s">
        <v>54</v>
      </c>
      <c r="E217" t="s">
        <v>67</v>
      </c>
      <c r="F217" t="s">
        <v>17</v>
      </c>
      <c r="G217" t="s">
        <v>46</v>
      </c>
      <c r="H217" s="8">
        <v>11</v>
      </c>
      <c r="I217" s="8">
        <v>1008.74</v>
      </c>
      <c r="J217" s="8">
        <v>0.05</v>
      </c>
      <c r="K217" s="3">
        <v>10541.33</v>
      </c>
      <c r="L217" t="s">
        <v>35</v>
      </c>
      <c r="M217" t="s">
        <v>36</v>
      </c>
      <c r="N217" s="3">
        <f>Table1[[#This Row],[Quantity]]*Table1[[#This Row],[UnitPrice]]*(1-Table1[[#This Row],[Discount]])</f>
        <v>10541.332999999999</v>
      </c>
    </row>
    <row r="218" spans="1:14" x14ac:dyDescent="0.35">
      <c r="A218" s="8">
        <v>1283</v>
      </c>
      <c r="B218" s="2">
        <v>46053</v>
      </c>
      <c r="C218" t="s">
        <v>27</v>
      </c>
      <c r="D218" t="s">
        <v>54</v>
      </c>
      <c r="E218" t="s">
        <v>49</v>
      </c>
      <c r="F218" t="s">
        <v>17</v>
      </c>
      <c r="G218" t="s">
        <v>46</v>
      </c>
      <c r="H218" s="8">
        <v>1</v>
      </c>
      <c r="I218" s="8">
        <v>1110.3699999999999</v>
      </c>
      <c r="J218" s="8">
        <v>0.1</v>
      </c>
      <c r="K218" s="3">
        <v>999.33</v>
      </c>
      <c r="L218" t="s">
        <v>39</v>
      </c>
      <c r="M218" t="s">
        <v>36</v>
      </c>
      <c r="N218" s="3">
        <f>Table1[[#This Row],[Quantity]]*Table1[[#This Row],[UnitPrice]]*(1-Table1[[#This Row],[Discount]])</f>
        <v>999.33299999999997</v>
      </c>
    </row>
    <row r="219" spans="1:14" x14ac:dyDescent="0.35">
      <c r="A219" s="8">
        <v>1165</v>
      </c>
      <c r="B219" s="2">
        <v>46058</v>
      </c>
      <c r="C219" t="s">
        <v>21</v>
      </c>
      <c r="D219" t="s">
        <v>47</v>
      </c>
      <c r="E219" t="s">
        <v>111</v>
      </c>
      <c r="F219" t="s">
        <v>17</v>
      </c>
      <c r="G219" t="s">
        <v>18</v>
      </c>
      <c r="H219" s="8">
        <v>2</v>
      </c>
      <c r="I219" s="8">
        <v>436.09</v>
      </c>
      <c r="J219" s="8">
        <v>0.15</v>
      </c>
      <c r="K219" s="3">
        <v>741.35</v>
      </c>
      <c r="L219" t="s">
        <v>19</v>
      </c>
      <c r="M219" t="s">
        <v>26</v>
      </c>
      <c r="N219" s="3">
        <f>Table1[[#This Row],[Quantity]]*Table1[[#This Row],[UnitPrice]]*(1-Table1[[#This Row],[Discount]])</f>
        <v>741.35299999999995</v>
      </c>
    </row>
    <row r="220" spans="1:14" x14ac:dyDescent="0.35">
      <c r="A220" s="8">
        <v>1011</v>
      </c>
      <c r="B220" s="2">
        <v>46059</v>
      </c>
      <c r="C220" t="s">
        <v>14</v>
      </c>
      <c r="D220" t="s">
        <v>47</v>
      </c>
      <c r="E220" t="s">
        <v>74</v>
      </c>
      <c r="F220" t="s">
        <v>24</v>
      </c>
      <c r="G220" t="s">
        <v>63</v>
      </c>
      <c r="H220" s="8">
        <v>7</v>
      </c>
      <c r="I220" s="8">
        <v>676</v>
      </c>
      <c r="J220" s="8">
        <v>0.05</v>
      </c>
      <c r="K220" s="3">
        <v>4495.3999999999996</v>
      </c>
      <c r="L220" t="s">
        <v>19</v>
      </c>
      <c r="M220" t="s">
        <v>36</v>
      </c>
      <c r="N220" s="3">
        <f>Table1[[#This Row],[Quantity]]*Table1[[#This Row],[UnitPrice]]*(1-Table1[[#This Row],[Discount]])</f>
        <v>4495.3999999999996</v>
      </c>
    </row>
    <row r="221" spans="1:14" x14ac:dyDescent="0.35">
      <c r="A221" s="8">
        <v>1162</v>
      </c>
      <c r="B221" s="2">
        <v>46060</v>
      </c>
      <c r="C221" t="s">
        <v>14</v>
      </c>
      <c r="D221" t="s">
        <v>54</v>
      </c>
      <c r="E221" t="s">
        <v>48</v>
      </c>
      <c r="F221" t="s">
        <v>33</v>
      </c>
      <c r="G221" t="s">
        <v>61</v>
      </c>
      <c r="H221" s="8">
        <v>9</v>
      </c>
      <c r="I221" s="8">
        <v>912.23</v>
      </c>
      <c r="J221" s="8">
        <v>0.15</v>
      </c>
      <c r="K221" s="3">
        <v>6978.56</v>
      </c>
      <c r="L221" t="s">
        <v>39</v>
      </c>
      <c r="M221" t="s">
        <v>20</v>
      </c>
      <c r="N221" s="3">
        <f>Table1[[#This Row],[Quantity]]*Table1[[#This Row],[UnitPrice]]*(1-Table1[[#This Row],[Discount]])</f>
        <v>6978.5594999999994</v>
      </c>
    </row>
    <row r="222" spans="1:14" x14ac:dyDescent="0.35">
      <c r="A222" s="8">
        <v>1079</v>
      </c>
      <c r="B222" s="2">
        <v>46061</v>
      </c>
      <c r="C222" t="s">
        <v>21</v>
      </c>
      <c r="D222" t="s">
        <v>47</v>
      </c>
      <c r="E222" t="s">
        <v>120</v>
      </c>
      <c r="F222" t="s">
        <v>33</v>
      </c>
      <c r="G222" t="s">
        <v>34</v>
      </c>
      <c r="H222" s="8">
        <v>2</v>
      </c>
      <c r="I222" s="8">
        <v>602.16</v>
      </c>
      <c r="J222" s="8">
        <v>0.1</v>
      </c>
      <c r="K222" s="3">
        <v>1083.8900000000001</v>
      </c>
      <c r="L222" t="s">
        <v>39</v>
      </c>
      <c r="M222" t="s">
        <v>20</v>
      </c>
      <c r="N222" s="3">
        <f>Table1[[#This Row],[Quantity]]*Table1[[#This Row],[UnitPrice]]*(1-Table1[[#This Row],[Discount]])</f>
        <v>1083.8879999999999</v>
      </c>
    </row>
    <row r="223" spans="1:14" x14ac:dyDescent="0.35">
      <c r="A223" s="8">
        <v>1196</v>
      </c>
      <c r="B223" s="2">
        <v>46064</v>
      </c>
      <c r="C223" t="s">
        <v>21</v>
      </c>
      <c r="D223" t="s">
        <v>28</v>
      </c>
      <c r="E223" t="s">
        <v>55</v>
      </c>
      <c r="F223" t="s">
        <v>33</v>
      </c>
      <c r="G223" t="s">
        <v>61</v>
      </c>
      <c r="H223" s="8">
        <v>13</v>
      </c>
      <c r="I223" s="8">
        <v>726.17</v>
      </c>
      <c r="J223" s="8">
        <v>0</v>
      </c>
      <c r="K223" s="3">
        <v>9440.2099999999991</v>
      </c>
      <c r="L223" t="s">
        <v>35</v>
      </c>
      <c r="M223" t="s">
        <v>26</v>
      </c>
      <c r="N223" s="3">
        <f>Table1[[#This Row],[Quantity]]*Table1[[#This Row],[UnitPrice]]*(1-Table1[[#This Row],[Discount]])</f>
        <v>9440.2099999999991</v>
      </c>
    </row>
    <row r="224" spans="1:14" x14ac:dyDescent="0.35">
      <c r="A224" s="8">
        <v>1127</v>
      </c>
      <c r="B224" s="2">
        <v>46065</v>
      </c>
      <c r="C224" t="s">
        <v>21</v>
      </c>
      <c r="D224" t="s">
        <v>54</v>
      </c>
      <c r="E224" t="s">
        <v>82</v>
      </c>
      <c r="F224" t="s">
        <v>33</v>
      </c>
      <c r="G224" t="s">
        <v>61</v>
      </c>
      <c r="H224" s="8">
        <v>10</v>
      </c>
      <c r="I224" s="8">
        <v>256.5</v>
      </c>
      <c r="J224" s="8">
        <v>0.15</v>
      </c>
      <c r="K224" s="3">
        <v>2180.25</v>
      </c>
      <c r="L224" t="s">
        <v>35</v>
      </c>
      <c r="M224" t="s">
        <v>20</v>
      </c>
      <c r="N224" s="3">
        <f>Table1[[#This Row],[Quantity]]*Table1[[#This Row],[UnitPrice]]*(1-Table1[[#This Row],[Discount]])</f>
        <v>2180.25</v>
      </c>
    </row>
    <row r="225" spans="1:14" x14ac:dyDescent="0.35">
      <c r="A225" s="8">
        <v>1248</v>
      </c>
      <c r="B225" s="2">
        <v>46066</v>
      </c>
      <c r="C225" t="s">
        <v>21</v>
      </c>
      <c r="D225" t="s">
        <v>28</v>
      </c>
      <c r="E225" t="s">
        <v>88</v>
      </c>
      <c r="F225" t="s">
        <v>33</v>
      </c>
      <c r="G225" t="s">
        <v>53</v>
      </c>
      <c r="H225" s="8">
        <v>10</v>
      </c>
      <c r="I225" s="8">
        <v>338.87</v>
      </c>
      <c r="J225" s="8">
        <v>0</v>
      </c>
      <c r="K225" s="3">
        <v>3388.7</v>
      </c>
      <c r="L225" t="s">
        <v>35</v>
      </c>
      <c r="M225" t="s">
        <v>26</v>
      </c>
      <c r="N225" s="3">
        <f>Table1[[#This Row],[Quantity]]*Table1[[#This Row],[UnitPrice]]*(1-Table1[[#This Row],[Discount]])</f>
        <v>3388.7</v>
      </c>
    </row>
    <row r="226" spans="1:14" x14ac:dyDescent="0.35">
      <c r="A226" s="8">
        <v>1103</v>
      </c>
      <c r="B226" s="2">
        <v>46070</v>
      </c>
      <c r="C226" t="s">
        <v>43</v>
      </c>
      <c r="D226" t="s">
        <v>28</v>
      </c>
      <c r="E226" t="s">
        <v>62</v>
      </c>
      <c r="F226" t="s">
        <v>33</v>
      </c>
      <c r="G226" t="s">
        <v>61</v>
      </c>
      <c r="H226" s="8">
        <v>11</v>
      </c>
      <c r="I226" s="8">
        <v>414.53</v>
      </c>
      <c r="J226" s="8">
        <v>0.1</v>
      </c>
      <c r="K226" s="3">
        <v>4103.8500000000004</v>
      </c>
      <c r="L226" t="s">
        <v>19</v>
      </c>
      <c r="M226" t="s">
        <v>26</v>
      </c>
      <c r="N226" s="3">
        <f>Table1[[#This Row],[Quantity]]*Table1[[#This Row],[UnitPrice]]*(1-Table1[[#This Row],[Discount]])</f>
        <v>4103.8469999999998</v>
      </c>
    </row>
    <row r="227" spans="1:14" x14ac:dyDescent="0.35">
      <c r="A227" s="8">
        <v>1175</v>
      </c>
      <c r="B227" s="2">
        <v>46071</v>
      </c>
      <c r="C227" t="s">
        <v>14</v>
      </c>
      <c r="D227" t="s">
        <v>28</v>
      </c>
      <c r="E227" t="s">
        <v>48</v>
      </c>
      <c r="F227" t="s">
        <v>24</v>
      </c>
      <c r="G227" t="s">
        <v>63</v>
      </c>
      <c r="H227" s="8">
        <v>3</v>
      </c>
      <c r="I227" s="8">
        <v>121.71</v>
      </c>
      <c r="J227" s="8">
        <v>0.15</v>
      </c>
      <c r="K227" s="3">
        <v>310.36</v>
      </c>
      <c r="L227" t="s">
        <v>19</v>
      </c>
      <c r="M227" t="s">
        <v>26</v>
      </c>
      <c r="N227" s="3">
        <f>Table1[[#This Row],[Quantity]]*Table1[[#This Row],[UnitPrice]]*(1-Table1[[#This Row],[Discount]])</f>
        <v>310.3605</v>
      </c>
    </row>
    <row r="228" spans="1:14" x14ac:dyDescent="0.35">
      <c r="A228" s="8">
        <v>1227</v>
      </c>
      <c r="B228" s="2">
        <v>46072</v>
      </c>
      <c r="C228" t="s">
        <v>14</v>
      </c>
      <c r="D228" t="s">
        <v>22</v>
      </c>
      <c r="E228" t="s">
        <v>97</v>
      </c>
      <c r="F228" t="s">
        <v>17</v>
      </c>
      <c r="G228" t="s">
        <v>18</v>
      </c>
      <c r="H228" s="8">
        <v>10</v>
      </c>
      <c r="I228" s="8">
        <v>236.9</v>
      </c>
      <c r="J228" s="8">
        <v>0</v>
      </c>
      <c r="K228" s="3">
        <v>2369</v>
      </c>
      <c r="L228" t="s">
        <v>39</v>
      </c>
      <c r="M228" t="s">
        <v>20</v>
      </c>
      <c r="N228" s="3">
        <f>Table1[[#This Row],[Quantity]]*Table1[[#This Row],[UnitPrice]]*(1-Table1[[#This Row],[Discount]])</f>
        <v>2369</v>
      </c>
    </row>
    <row r="229" spans="1:14" x14ac:dyDescent="0.35">
      <c r="A229" s="8">
        <v>1166</v>
      </c>
      <c r="B229" s="2">
        <v>46074</v>
      </c>
      <c r="C229" t="s">
        <v>21</v>
      </c>
      <c r="D229" t="s">
        <v>47</v>
      </c>
      <c r="E229" t="s">
        <v>113</v>
      </c>
      <c r="F229" t="s">
        <v>24</v>
      </c>
      <c r="G229" t="s">
        <v>63</v>
      </c>
      <c r="H229" s="8">
        <v>4</v>
      </c>
      <c r="I229" s="8">
        <v>357.46</v>
      </c>
      <c r="J229" s="8">
        <v>0</v>
      </c>
      <c r="K229" s="3">
        <v>1429.84</v>
      </c>
      <c r="L229" t="s">
        <v>39</v>
      </c>
      <c r="M229" t="s">
        <v>20</v>
      </c>
      <c r="N229" s="3">
        <f>Table1[[#This Row],[Quantity]]*Table1[[#This Row],[UnitPrice]]*(1-Table1[[#This Row],[Discount]])</f>
        <v>1429.84</v>
      </c>
    </row>
    <row r="230" spans="1:14" x14ac:dyDescent="0.35">
      <c r="A230" s="8">
        <v>1084</v>
      </c>
      <c r="B230" s="2">
        <v>46075</v>
      </c>
      <c r="C230" t="s">
        <v>27</v>
      </c>
      <c r="D230" t="s">
        <v>28</v>
      </c>
      <c r="E230" t="s">
        <v>84</v>
      </c>
      <c r="F230" t="s">
        <v>17</v>
      </c>
      <c r="G230" t="s">
        <v>30</v>
      </c>
      <c r="H230" s="8">
        <v>4</v>
      </c>
      <c r="I230" s="8">
        <v>1025.3</v>
      </c>
      <c r="J230" s="8">
        <v>0</v>
      </c>
      <c r="K230" s="3">
        <v>4101.2</v>
      </c>
      <c r="L230" t="s">
        <v>39</v>
      </c>
      <c r="M230" t="s">
        <v>36</v>
      </c>
      <c r="N230" s="3">
        <f>Table1[[#This Row],[Quantity]]*Table1[[#This Row],[UnitPrice]]*(1-Table1[[#This Row],[Discount]])</f>
        <v>4101.2</v>
      </c>
    </row>
    <row r="231" spans="1:14" x14ac:dyDescent="0.35">
      <c r="A231" s="8">
        <v>1126</v>
      </c>
      <c r="B231" s="2">
        <v>46075</v>
      </c>
      <c r="C231" t="s">
        <v>14</v>
      </c>
      <c r="D231" t="s">
        <v>15</v>
      </c>
      <c r="E231" t="s">
        <v>92</v>
      </c>
      <c r="F231" t="s">
        <v>33</v>
      </c>
      <c r="G231" t="s">
        <v>53</v>
      </c>
      <c r="H231" s="8">
        <v>4</v>
      </c>
      <c r="I231" s="8">
        <v>586.72</v>
      </c>
      <c r="J231" s="8">
        <v>0.15</v>
      </c>
      <c r="K231" s="3">
        <v>1994.85</v>
      </c>
      <c r="L231" t="s">
        <v>19</v>
      </c>
      <c r="M231" t="s">
        <v>26</v>
      </c>
      <c r="N231" s="3">
        <f>Table1[[#This Row],[Quantity]]*Table1[[#This Row],[UnitPrice]]*(1-Table1[[#This Row],[Discount]])</f>
        <v>1994.848</v>
      </c>
    </row>
    <row r="232" spans="1:14" x14ac:dyDescent="0.35">
      <c r="A232" s="8">
        <v>1014</v>
      </c>
      <c r="B232" s="2">
        <v>46080</v>
      </c>
      <c r="C232" t="s">
        <v>27</v>
      </c>
      <c r="D232" t="s">
        <v>15</v>
      </c>
      <c r="E232" t="s">
        <v>92</v>
      </c>
      <c r="F232" t="s">
        <v>24</v>
      </c>
      <c r="G232" t="s">
        <v>63</v>
      </c>
      <c r="H232" s="8">
        <v>15</v>
      </c>
      <c r="I232" s="8">
        <v>543.07000000000005</v>
      </c>
      <c r="J232" s="8">
        <v>0</v>
      </c>
      <c r="K232" s="3">
        <v>8146.05</v>
      </c>
      <c r="L232" t="s">
        <v>39</v>
      </c>
      <c r="M232" t="s">
        <v>20</v>
      </c>
      <c r="N232" s="3">
        <f>Table1[[#This Row],[Quantity]]*Table1[[#This Row],[UnitPrice]]*(1-Table1[[#This Row],[Discount]])</f>
        <v>8146.0500000000011</v>
      </c>
    </row>
    <row r="233" spans="1:14" x14ac:dyDescent="0.35">
      <c r="A233" s="8">
        <v>1087</v>
      </c>
      <c r="B233" s="2">
        <v>46081</v>
      </c>
      <c r="C233" t="s">
        <v>14</v>
      </c>
      <c r="D233" t="s">
        <v>47</v>
      </c>
      <c r="E233" t="s">
        <v>44</v>
      </c>
      <c r="F233" t="s">
        <v>24</v>
      </c>
      <c r="G233" t="s">
        <v>63</v>
      </c>
      <c r="H233" s="8">
        <v>4</v>
      </c>
      <c r="I233" s="8">
        <v>611.70000000000005</v>
      </c>
      <c r="J233" s="8">
        <v>0.1</v>
      </c>
      <c r="K233" s="3">
        <v>2202.12</v>
      </c>
      <c r="L233" t="s">
        <v>39</v>
      </c>
      <c r="M233" t="s">
        <v>36</v>
      </c>
      <c r="N233" s="3">
        <f>Table1[[#This Row],[Quantity]]*Table1[[#This Row],[UnitPrice]]*(1-Table1[[#This Row],[Discount]])</f>
        <v>2202.1200000000003</v>
      </c>
    </row>
    <row r="234" spans="1:14" x14ac:dyDescent="0.35">
      <c r="A234" s="8">
        <v>1092</v>
      </c>
      <c r="B234" s="2">
        <v>46083</v>
      </c>
      <c r="C234" t="s">
        <v>14</v>
      </c>
      <c r="D234" t="s">
        <v>15</v>
      </c>
      <c r="E234" t="s">
        <v>103</v>
      </c>
      <c r="F234" t="s">
        <v>17</v>
      </c>
      <c r="G234" t="s">
        <v>18</v>
      </c>
      <c r="H234" s="8">
        <v>14</v>
      </c>
      <c r="I234" s="8">
        <v>1177.07</v>
      </c>
      <c r="J234" s="8">
        <v>0.1</v>
      </c>
      <c r="K234" s="3">
        <v>14831.08</v>
      </c>
      <c r="L234" t="s">
        <v>19</v>
      </c>
      <c r="M234" t="s">
        <v>26</v>
      </c>
      <c r="N234" s="3">
        <f>Table1[[#This Row],[Quantity]]*Table1[[#This Row],[UnitPrice]]*(1-Table1[[#This Row],[Discount]])</f>
        <v>14831.082</v>
      </c>
    </row>
    <row r="235" spans="1:14" x14ac:dyDescent="0.35">
      <c r="A235" s="8">
        <v>1217</v>
      </c>
      <c r="B235" s="2">
        <v>46083</v>
      </c>
      <c r="C235" t="s">
        <v>27</v>
      </c>
      <c r="D235" t="s">
        <v>31</v>
      </c>
      <c r="E235" t="s">
        <v>50</v>
      </c>
      <c r="F235" t="s">
        <v>17</v>
      </c>
      <c r="G235" t="s">
        <v>30</v>
      </c>
      <c r="H235" s="8">
        <v>2</v>
      </c>
      <c r="I235" s="8">
        <v>561.78</v>
      </c>
      <c r="J235" s="8">
        <v>0</v>
      </c>
      <c r="K235" s="3">
        <v>1123.56</v>
      </c>
      <c r="L235" t="s">
        <v>35</v>
      </c>
      <c r="M235" t="s">
        <v>20</v>
      </c>
      <c r="N235" s="3">
        <f>Table1[[#This Row],[Quantity]]*Table1[[#This Row],[UnitPrice]]*(1-Table1[[#This Row],[Discount]])</f>
        <v>1123.56</v>
      </c>
    </row>
    <row r="236" spans="1:14" x14ac:dyDescent="0.35">
      <c r="A236" s="8">
        <v>1226</v>
      </c>
      <c r="B236" s="2">
        <v>46083</v>
      </c>
      <c r="C236" t="s">
        <v>21</v>
      </c>
      <c r="D236" t="s">
        <v>22</v>
      </c>
      <c r="E236" t="s">
        <v>121</v>
      </c>
      <c r="F236" t="s">
        <v>24</v>
      </c>
      <c r="G236" t="s">
        <v>38</v>
      </c>
      <c r="H236" s="8">
        <v>7</v>
      </c>
      <c r="I236" s="8">
        <v>408.56</v>
      </c>
      <c r="J236" s="8">
        <v>0.15</v>
      </c>
      <c r="K236" s="3">
        <v>2430.9299999999998</v>
      </c>
      <c r="L236" t="s">
        <v>35</v>
      </c>
      <c r="M236" t="s">
        <v>26</v>
      </c>
      <c r="N236" s="3">
        <f>Table1[[#This Row],[Quantity]]*Table1[[#This Row],[UnitPrice]]*(1-Table1[[#This Row],[Discount]])</f>
        <v>2430.9319999999998</v>
      </c>
    </row>
    <row r="237" spans="1:14" x14ac:dyDescent="0.35">
      <c r="A237" s="8">
        <v>1239</v>
      </c>
      <c r="B237" s="2">
        <v>46090</v>
      </c>
      <c r="C237" t="s">
        <v>14</v>
      </c>
      <c r="D237" t="s">
        <v>22</v>
      </c>
      <c r="E237" t="s">
        <v>102</v>
      </c>
      <c r="F237" t="s">
        <v>33</v>
      </c>
      <c r="G237" t="s">
        <v>53</v>
      </c>
      <c r="H237" s="8">
        <v>6</v>
      </c>
      <c r="I237" s="8">
        <v>751.3</v>
      </c>
      <c r="J237" s="8">
        <v>0.05</v>
      </c>
      <c r="K237" s="3">
        <v>4282.41</v>
      </c>
      <c r="L237" t="s">
        <v>39</v>
      </c>
      <c r="M237" t="s">
        <v>26</v>
      </c>
      <c r="N237" s="3">
        <f>Table1[[#This Row],[Quantity]]*Table1[[#This Row],[UnitPrice]]*(1-Table1[[#This Row],[Discount]])</f>
        <v>4282.4099999999989</v>
      </c>
    </row>
    <row r="238" spans="1:14" x14ac:dyDescent="0.35">
      <c r="A238" s="8">
        <v>1297</v>
      </c>
      <c r="B238" s="2">
        <v>46090</v>
      </c>
      <c r="C238" t="s">
        <v>27</v>
      </c>
      <c r="D238" t="s">
        <v>54</v>
      </c>
      <c r="E238" t="s">
        <v>85</v>
      </c>
      <c r="F238" t="s">
        <v>33</v>
      </c>
      <c r="G238" t="s">
        <v>34</v>
      </c>
      <c r="H238" s="8">
        <v>5</v>
      </c>
      <c r="I238" s="8">
        <v>917.07</v>
      </c>
      <c r="J238" s="8">
        <v>0.05</v>
      </c>
      <c r="K238" s="3">
        <v>4356.08</v>
      </c>
      <c r="L238" t="s">
        <v>39</v>
      </c>
      <c r="M238" t="s">
        <v>20</v>
      </c>
      <c r="N238" s="3">
        <f>Table1[[#This Row],[Quantity]]*Table1[[#This Row],[UnitPrice]]*(1-Table1[[#This Row],[Discount]])</f>
        <v>4356.0825000000004</v>
      </c>
    </row>
    <row r="239" spans="1:14" x14ac:dyDescent="0.35">
      <c r="A239" s="8">
        <v>1081</v>
      </c>
      <c r="B239" s="2">
        <v>46094</v>
      </c>
      <c r="C239" t="s">
        <v>21</v>
      </c>
      <c r="D239" t="s">
        <v>22</v>
      </c>
      <c r="E239" t="s">
        <v>122</v>
      </c>
      <c r="F239" t="s">
        <v>33</v>
      </c>
      <c r="G239" t="s">
        <v>34</v>
      </c>
      <c r="H239" s="8">
        <v>13</v>
      </c>
      <c r="I239" s="8">
        <v>775.95</v>
      </c>
      <c r="J239" s="8">
        <v>0</v>
      </c>
      <c r="K239" s="3">
        <v>10087.35</v>
      </c>
      <c r="L239" t="s">
        <v>35</v>
      </c>
      <c r="M239" t="s">
        <v>26</v>
      </c>
      <c r="N239" s="3">
        <f>Table1[[#This Row],[Quantity]]*Table1[[#This Row],[UnitPrice]]*(1-Table1[[#This Row],[Discount]])</f>
        <v>10087.35</v>
      </c>
    </row>
    <row r="240" spans="1:14" x14ac:dyDescent="0.35">
      <c r="A240" s="8">
        <v>1258</v>
      </c>
      <c r="B240" s="2">
        <v>46094</v>
      </c>
      <c r="C240" t="s">
        <v>43</v>
      </c>
      <c r="D240" t="s">
        <v>28</v>
      </c>
      <c r="E240" t="s">
        <v>121</v>
      </c>
      <c r="F240" t="s">
        <v>33</v>
      </c>
      <c r="G240" t="s">
        <v>61</v>
      </c>
      <c r="H240" s="8">
        <v>2</v>
      </c>
      <c r="I240" s="8">
        <v>42.23</v>
      </c>
      <c r="J240" s="8">
        <v>0</v>
      </c>
      <c r="K240" s="3">
        <v>84.46</v>
      </c>
      <c r="L240" t="s">
        <v>39</v>
      </c>
      <c r="M240" t="s">
        <v>36</v>
      </c>
      <c r="N240" s="3">
        <f>Table1[[#This Row],[Quantity]]*Table1[[#This Row],[UnitPrice]]*(1-Table1[[#This Row],[Discount]])</f>
        <v>84.46</v>
      </c>
    </row>
    <row r="241" spans="1:14" x14ac:dyDescent="0.35">
      <c r="A241" s="8">
        <v>1268</v>
      </c>
      <c r="B241" s="2">
        <v>46094</v>
      </c>
      <c r="C241" t="s">
        <v>14</v>
      </c>
      <c r="D241" t="s">
        <v>47</v>
      </c>
      <c r="E241" t="s">
        <v>55</v>
      </c>
      <c r="F241" t="s">
        <v>33</v>
      </c>
      <c r="G241" t="s">
        <v>61</v>
      </c>
      <c r="H241" s="8">
        <v>6</v>
      </c>
      <c r="I241" s="8">
        <v>76.27</v>
      </c>
      <c r="J241" s="8">
        <v>0.1</v>
      </c>
      <c r="K241" s="3">
        <v>411.86</v>
      </c>
      <c r="L241" t="s">
        <v>39</v>
      </c>
      <c r="M241" t="s">
        <v>36</v>
      </c>
      <c r="N241" s="3">
        <f>Table1[[#This Row],[Quantity]]*Table1[[#This Row],[UnitPrice]]*(1-Table1[[#This Row],[Discount]])</f>
        <v>411.858</v>
      </c>
    </row>
    <row r="242" spans="1:14" x14ac:dyDescent="0.35">
      <c r="A242" s="8">
        <v>1256</v>
      </c>
      <c r="B242" s="2">
        <v>46095</v>
      </c>
      <c r="C242" t="s">
        <v>14</v>
      </c>
      <c r="D242" t="s">
        <v>22</v>
      </c>
      <c r="E242" t="s">
        <v>64</v>
      </c>
      <c r="F242" t="s">
        <v>17</v>
      </c>
      <c r="G242" t="s">
        <v>18</v>
      </c>
      <c r="H242" s="8">
        <v>9</v>
      </c>
      <c r="I242" s="8">
        <v>489.98</v>
      </c>
      <c r="J242" s="8">
        <v>0</v>
      </c>
      <c r="K242" s="3">
        <v>4409.82</v>
      </c>
      <c r="L242" t="s">
        <v>39</v>
      </c>
      <c r="M242" t="s">
        <v>20</v>
      </c>
      <c r="N242" s="3">
        <f>Table1[[#This Row],[Quantity]]*Table1[[#This Row],[UnitPrice]]*(1-Table1[[#This Row],[Discount]])</f>
        <v>4409.82</v>
      </c>
    </row>
    <row r="243" spans="1:14" x14ac:dyDescent="0.35">
      <c r="A243" s="8">
        <v>1034</v>
      </c>
      <c r="B243" s="2">
        <v>46097</v>
      </c>
      <c r="C243" t="s">
        <v>43</v>
      </c>
      <c r="D243" t="s">
        <v>22</v>
      </c>
      <c r="E243" t="s">
        <v>73</v>
      </c>
      <c r="F243" t="s">
        <v>33</v>
      </c>
      <c r="G243" t="s">
        <v>34</v>
      </c>
      <c r="H243" s="8">
        <v>9</v>
      </c>
      <c r="I243" s="8">
        <v>583.97</v>
      </c>
      <c r="J243" s="8">
        <v>0.1</v>
      </c>
      <c r="K243" s="3">
        <v>4730.16</v>
      </c>
      <c r="L243" t="s">
        <v>19</v>
      </c>
      <c r="M243" t="s">
        <v>20</v>
      </c>
      <c r="N243" s="3">
        <f>Table1[[#This Row],[Quantity]]*Table1[[#This Row],[UnitPrice]]*(1-Table1[[#This Row],[Discount]])</f>
        <v>4730.1570000000002</v>
      </c>
    </row>
    <row r="244" spans="1:14" x14ac:dyDescent="0.35">
      <c r="A244" s="8">
        <v>1125</v>
      </c>
      <c r="B244" s="2">
        <v>46098</v>
      </c>
      <c r="C244" t="s">
        <v>27</v>
      </c>
      <c r="D244" t="s">
        <v>47</v>
      </c>
      <c r="E244" t="s">
        <v>80</v>
      </c>
      <c r="F244" t="s">
        <v>17</v>
      </c>
      <c r="G244" t="s">
        <v>18</v>
      </c>
      <c r="H244" s="8">
        <v>7</v>
      </c>
      <c r="I244" s="8">
        <v>989.45</v>
      </c>
      <c r="J244" s="8">
        <v>0</v>
      </c>
      <c r="K244" s="3">
        <v>6926.15</v>
      </c>
      <c r="L244" t="s">
        <v>35</v>
      </c>
      <c r="M244" t="s">
        <v>26</v>
      </c>
      <c r="N244" s="3">
        <f>Table1[[#This Row],[Quantity]]*Table1[[#This Row],[UnitPrice]]*(1-Table1[[#This Row],[Discount]])</f>
        <v>6926.1500000000005</v>
      </c>
    </row>
    <row r="245" spans="1:14" x14ac:dyDescent="0.35">
      <c r="A245" s="8">
        <v>1293</v>
      </c>
      <c r="B245" s="2">
        <v>46099</v>
      </c>
      <c r="C245" t="s">
        <v>14</v>
      </c>
      <c r="D245" t="s">
        <v>31</v>
      </c>
      <c r="E245" t="s">
        <v>90</v>
      </c>
      <c r="F245" t="s">
        <v>33</v>
      </c>
      <c r="G245" t="s">
        <v>53</v>
      </c>
      <c r="H245" s="8">
        <v>3</v>
      </c>
      <c r="I245" s="8">
        <v>870.87</v>
      </c>
      <c r="J245" s="8">
        <v>0.1</v>
      </c>
      <c r="K245" s="3">
        <v>2351.35</v>
      </c>
      <c r="L245" t="s">
        <v>39</v>
      </c>
      <c r="M245" t="s">
        <v>26</v>
      </c>
      <c r="N245" s="3">
        <f>Table1[[#This Row],[Quantity]]*Table1[[#This Row],[UnitPrice]]*(1-Table1[[#This Row],[Discount]])</f>
        <v>2351.3490000000002</v>
      </c>
    </row>
    <row r="246" spans="1:14" x14ac:dyDescent="0.35">
      <c r="A246" s="8">
        <v>1259</v>
      </c>
      <c r="B246" s="2">
        <v>46100</v>
      </c>
      <c r="C246" t="s">
        <v>21</v>
      </c>
      <c r="D246" t="s">
        <v>54</v>
      </c>
      <c r="E246" t="s">
        <v>123</v>
      </c>
      <c r="F246" t="s">
        <v>24</v>
      </c>
      <c r="G246" t="s">
        <v>25</v>
      </c>
      <c r="H246" s="8">
        <v>13</v>
      </c>
      <c r="I246" s="8">
        <v>407.84</v>
      </c>
      <c r="J246" s="8">
        <v>0.05</v>
      </c>
      <c r="K246" s="3">
        <v>5036.82</v>
      </c>
      <c r="L246" t="s">
        <v>39</v>
      </c>
      <c r="M246" t="s">
        <v>26</v>
      </c>
      <c r="N246" s="3">
        <f>Table1[[#This Row],[Quantity]]*Table1[[#This Row],[UnitPrice]]*(1-Table1[[#This Row],[Discount]])</f>
        <v>5036.8239999999996</v>
      </c>
    </row>
    <row r="247" spans="1:14" x14ac:dyDescent="0.35">
      <c r="A247" s="8">
        <v>1008</v>
      </c>
      <c r="B247" s="2">
        <v>46103</v>
      </c>
      <c r="C247" t="s">
        <v>21</v>
      </c>
      <c r="D247" t="s">
        <v>54</v>
      </c>
      <c r="E247" t="s">
        <v>95</v>
      </c>
      <c r="F247" t="s">
        <v>17</v>
      </c>
      <c r="G247" t="s">
        <v>18</v>
      </c>
      <c r="H247" s="8">
        <v>9</v>
      </c>
      <c r="I247" s="8">
        <v>1074.54</v>
      </c>
      <c r="J247" s="8">
        <v>0</v>
      </c>
      <c r="K247" s="3">
        <v>9670.86</v>
      </c>
      <c r="L247" t="s">
        <v>19</v>
      </c>
      <c r="M247" t="s">
        <v>36</v>
      </c>
      <c r="N247" s="3">
        <f>Table1[[#This Row],[Quantity]]*Table1[[#This Row],[UnitPrice]]*(1-Table1[[#This Row],[Discount]])</f>
        <v>9670.86</v>
      </c>
    </row>
    <row r="248" spans="1:14" x14ac:dyDescent="0.35">
      <c r="A248" s="8">
        <v>1277</v>
      </c>
      <c r="B248" s="2">
        <v>46103</v>
      </c>
      <c r="C248" t="s">
        <v>14</v>
      </c>
      <c r="D248" t="s">
        <v>31</v>
      </c>
      <c r="E248" t="s">
        <v>119</v>
      </c>
      <c r="F248" t="s">
        <v>33</v>
      </c>
      <c r="G248" t="s">
        <v>61</v>
      </c>
      <c r="H248" s="8">
        <v>5</v>
      </c>
      <c r="I248" s="8">
        <v>136.04</v>
      </c>
      <c r="J248" s="8">
        <v>0.15</v>
      </c>
      <c r="K248" s="3">
        <v>578.16999999999996</v>
      </c>
      <c r="L248" t="s">
        <v>19</v>
      </c>
      <c r="M248" t="s">
        <v>26</v>
      </c>
      <c r="N248" s="3">
        <f>Table1[[#This Row],[Quantity]]*Table1[[#This Row],[UnitPrice]]*(1-Table1[[#This Row],[Discount]])</f>
        <v>578.16999999999996</v>
      </c>
    </row>
    <row r="249" spans="1:14" x14ac:dyDescent="0.35">
      <c r="A249" s="8">
        <v>1006</v>
      </c>
      <c r="B249" s="2">
        <v>46104</v>
      </c>
      <c r="C249" t="s">
        <v>21</v>
      </c>
      <c r="D249" t="s">
        <v>28</v>
      </c>
      <c r="E249" t="s">
        <v>73</v>
      </c>
      <c r="F249" t="s">
        <v>17</v>
      </c>
      <c r="G249" t="s">
        <v>30</v>
      </c>
      <c r="H249" s="8">
        <v>8</v>
      </c>
      <c r="I249" s="8">
        <v>547.41</v>
      </c>
      <c r="J249" s="8">
        <v>0.15</v>
      </c>
      <c r="K249" s="3">
        <v>3722.39</v>
      </c>
      <c r="L249" t="s">
        <v>19</v>
      </c>
      <c r="M249" t="s">
        <v>26</v>
      </c>
      <c r="N249" s="3">
        <f>Table1[[#This Row],[Quantity]]*Table1[[#This Row],[UnitPrice]]*(1-Table1[[#This Row],[Discount]])</f>
        <v>3722.3879999999995</v>
      </c>
    </row>
    <row r="250" spans="1:14" x14ac:dyDescent="0.35">
      <c r="A250" s="8">
        <v>1112</v>
      </c>
      <c r="B250" s="2">
        <v>46109</v>
      </c>
      <c r="C250" t="s">
        <v>43</v>
      </c>
      <c r="D250" t="s">
        <v>54</v>
      </c>
      <c r="E250" t="s">
        <v>86</v>
      </c>
      <c r="F250" t="s">
        <v>24</v>
      </c>
      <c r="G250" t="s">
        <v>25</v>
      </c>
      <c r="H250" s="8">
        <v>15</v>
      </c>
      <c r="I250" s="8">
        <v>486.43</v>
      </c>
      <c r="J250" s="8">
        <v>0.1</v>
      </c>
      <c r="K250" s="3">
        <v>6566.81</v>
      </c>
      <c r="L250" t="s">
        <v>35</v>
      </c>
      <c r="M250" t="s">
        <v>26</v>
      </c>
      <c r="N250" s="3">
        <f>Table1[[#This Row],[Quantity]]*Table1[[#This Row],[UnitPrice]]*(1-Table1[[#This Row],[Discount]])</f>
        <v>6566.8050000000003</v>
      </c>
    </row>
    <row r="251" spans="1:14" x14ac:dyDescent="0.35">
      <c r="A251" s="8">
        <v>1182</v>
      </c>
      <c r="B251" s="2">
        <v>46111</v>
      </c>
      <c r="C251" t="s">
        <v>43</v>
      </c>
      <c r="D251" t="s">
        <v>22</v>
      </c>
      <c r="E251" t="s">
        <v>87</v>
      </c>
      <c r="F251" t="s">
        <v>33</v>
      </c>
      <c r="G251" t="s">
        <v>34</v>
      </c>
      <c r="H251" s="8">
        <v>1</v>
      </c>
      <c r="I251" s="8">
        <v>679.37</v>
      </c>
      <c r="J251" s="8">
        <v>0.05</v>
      </c>
      <c r="K251" s="3">
        <v>645.4</v>
      </c>
      <c r="L251" t="s">
        <v>35</v>
      </c>
      <c r="M251" t="s">
        <v>20</v>
      </c>
      <c r="N251" s="3">
        <f>Table1[[#This Row],[Quantity]]*Table1[[#This Row],[UnitPrice]]*(1-Table1[[#This Row],[Discount]])</f>
        <v>645.40149999999994</v>
      </c>
    </row>
    <row r="252" spans="1:14" x14ac:dyDescent="0.35">
      <c r="A252" s="8">
        <v>1031</v>
      </c>
      <c r="B252" s="2">
        <v>46114</v>
      </c>
      <c r="C252" t="s">
        <v>27</v>
      </c>
      <c r="D252" t="s">
        <v>54</v>
      </c>
      <c r="E252" t="s">
        <v>42</v>
      </c>
      <c r="F252" t="s">
        <v>24</v>
      </c>
      <c r="G252" t="s">
        <v>38</v>
      </c>
      <c r="H252" s="8">
        <v>15</v>
      </c>
      <c r="I252" s="8">
        <v>1052.1300000000001</v>
      </c>
      <c r="J252" s="8">
        <v>0.1</v>
      </c>
      <c r="K252" s="3">
        <v>14203.76</v>
      </c>
      <c r="L252" t="s">
        <v>35</v>
      </c>
      <c r="M252" t="s">
        <v>20</v>
      </c>
      <c r="N252" s="3">
        <f>Table1[[#This Row],[Quantity]]*Table1[[#This Row],[UnitPrice]]*(1-Table1[[#This Row],[Discount]])</f>
        <v>14203.755000000001</v>
      </c>
    </row>
    <row r="253" spans="1:14" x14ac:dyDescent="0.35">
      <c r="A253" s="8">
        <v>1110</v>
      </c>
      <c r="B253" s="2">
        <v>46115</v>
      </c>
      <c r="C253" t="s">
        <v>14</v>
      </c>
      <c r="D253" t="s">
        <v>47</v>
      </c>
      <c r="E253" t="s">
        <v>108</v>
      </c>
      <c r="F253" t="s">
        <v>24</v>
      </c>
      <c r="G253" t="s">
        <v>25</v>
      </c>
      <c r="H253" s="8">
        <v>2</v>
      </c>
      <c r="I253" s="8">
        <v>461.73</v>
      </c>
      <c r="J253" s="8">
        <v>0.05</v>
      </c>
      <c r="K253" s="3">
        <v>877.29</v>
      </c>
      <c r="L253" t="s">
        <v>35</v>
      </c>
      <c r="M253" t="s">
        <v>36</v>
      </c>
      <c r="N253" s="3">
        <f>Table1[[#This Row],[Quantity]]*Table1[[#This Row],[UnitPrice]]*(1-Table1[[#This Row],[Discount]])</f>
        <v>877.28700000000003</v>
      </c>
    </row>
    <row r="254" spans="1:14" x14ac:dyDescent="0.35">
      <c r="A254" s="8">
        <v>1247</v>
      </c>
      <c r="B254" s="2">
        <v>46117</v>
      </c>
      <c r="C254" t="s">
        <v>21</v>
      </c>
      <c r="D254" t="s">
        <v>15</v>
      </c>
      <c r="E254" t="s">
        <v>77</v>
      </c>
      <c r="F254" t="s">
        <v>33</v>
      </c>
      <c r="G254" t="s">
        <v>53</v>
      </c>
      <c r="H254" s="8">
        <v>9</v>
      </c>
      <c r="I254" s="8">
        <v>567.6</v>
      </c>
      <c r="J254" s="8">
        <v>0.1</v>
      </c>
      <c r="K254" s="3">
        <v>4597.5600000000004</v>
      </c>
      <c r="L254" t="s">
        <v>19</v>
      </c>
      <c r="M254" t="s">
        <v>20</v>
      </c>
      <c r="N254" s="3">
        <f>Table1[[#This Row],[Quantity]]*Table1[[#This Row],[UnitPrice]]*(1-Table1[[#This Row],[Discount]])</f>
        <v>4597.5600000000004</v>
      </c>
    </row>
    <row r="255" spans="1:14" x14ac:dyDescent="0.35">
      <c r="A255" s="8">
        <v>1053</v>
      </c>
      <c r="B255" s="2">
        <v>46122</v>
      </c>
      <c r="C255" t="s">
        <v>14</v>
      </c>
      <c r="D255" t="s">
        <v>54</v>
      </c>
      <c r="E255" t="s">
        <v>100</v>
      </c>
      <c r="F255" t="s">
        <v>17</v>
      </c>
      <c r="G255" t="s">
        <v>46</v>
      </c>
      <c r="H255" s="8">
        <v>6</v>
      </c>
      <c r="I255" s="8">
        <v>484.51</v>
      </c>
      <c r="J255" s="8">
        <v>0.05</v>
      </c>
      <c r="K255" s="3">
        <v>2761.71</v>
      </c>
      <c r="L255" t="s">
        <v>35</v>
      </c>
      <c r="M255" t="s">
        <v>36</v>
      </c>
      <c r="N255" s="3">
        <f>Table1[[#This Row],[Quantity]]*Table1[[#This Row],[UnitPrice]]*(1-Table1[[#This Row],[Discount]])</f>
        <v>2761.7069999999999</v>
      </c>
    </row>
    <row r="256" spans="1:14" x14ac:dyDescent="0.35">
      <c r="A256" s="8">
        <v>1055</v>
      </c>
      <c r="B256" s="2">
        <v>46126</v>
      </c>
      <c r="C256" t="s">
        <v>43</v>
      </c>
      <c r="D256" t="s">
        <v>31</v>
      </c>
      <c r="E256" t="s">
        <v>55</v>
      </c>
      <c r="F256" t="s">
        <v>17</v>
      </c>
      <c r="G256" t="s">
        <v>30</v>
      </c>
      <c r="H256" s="8">
        <v>15</v>
      </c>
      <c r="I256" s="8">
        <v>684.91</v>
      </c>
      <c r="J256" s="8">
        <v>0.05</v>
      </c>
      <c r="K256" s="3">
        <v>9759.9699999999993</v>
      </c>
      <c r="L256" t="s">
        <v>19</v>
      </c>
      <c r="M256" t="s">
        <v>26</v>
      </c>
      <c r="N256" s="3">
        <f>Table1[[#This Row],[Quantity]]*Table1[[#This Row],[UnitPrice]]*(1-Table1[[#This Row],[Discount]])</f>
        <v>9759.9674999999988</v>
      </c>
    </row>
    <row r="257" spans="1:14" x14ac:dyDescent="0.35">
      <c r="A257" s="8">
        <v>1158</v>
      </c>
      <c r="B257" s="2">
        <v>46131</v>
      </c>
      <c r="C257" t="s">
        <v>43</v>
      </c>
      <c r="D257" t="s">
        <v>31</v>
      </c>
      <c r="E257" t="s">
        <v>91</v>
      </c>
      <c r="F257" t="s">
        <v>24</v>
      </c>
      <c r="G257" t="s">
        <v>63</v>
      </c>
      <c r="H257" s="8">
        <v>14</v>
      </c>
      <c r="I257" s="8">
        <v>898.66</v>
      </c>
      <c r="J257" s="8">
        <v>0.1</v>
      </c>
      <c r="K257" s="3">
        <v>11323.12</v>
      </c>
      <c r="L257" t="s">
        <v>35</v>
      </c>
      <c r="M257" t="s">
        <v>36</v>
      </c>
      <c r="N257" s="3">
        <f>Table1[[#This Row],[Quantity]]*Table1[[#This Row],[UnitPrice]]*(1-Table1[[#This Row],[Discount]])</f>
        <v>11323.116</v>
      </c>
    </row>
    <row r="258" spans="1:14" x14ac:dyDescent="0.35">
      <c r="A258" s="8">
        <v>1181</v>
      </c>
      <c r="B258" s="2">
        <v>46131</v>
      </c>
      <c r="C258" t="s">
        <v>43</v>
      </c>
      <c r="D258" t="s">
        <v>47</v>
      </c>
      <c r="E258" t="s">
        <v>119</v>
      </c>
      <c r="F258" t="s">
        <v>17</v>
      </c>
      <c r="G258" t="s">
        <v>46</v>
      </c>
      <c r="H258" s="8">
        <v>14</v>
      </c>
      <c r="I258" s="8">
        <v>674.16</v>
      </c>
      <c r="J258" s="8">
        <v>0.1</v>
      </c>
      <c r="K258" s="3">
        <v>8494.42</v>
      </c>
      <c r="L258" t="s">
        <v>35</v>
      </c>
      <c r="M258" t="s">
        <v>26</v>
      </c>
      <c r="N258" s="3">
        <f>Table1[[#This Row],[Quantity]]*Table1[[#This Row],[UnitPrice]]*(1-Table1[[#This Row],[Discount]])</f>
        <v>8494.4159999999993</v>
      </c>
    </row>
    <row r="259" spans="1:14" x14ac:dyDescent="0.35">
      <c r="A259" s="8">
        <v>1144</v>
      </c>
      <c r="B259" s="2">
        <v>46132</v>
      </c>
      <c r="C259" t="s">
        <v>21</v>
      </c>
      <c r="D259" t="s">
        <v>22</v>
      </c>
      <c r="E259" t="s">
        <v>89</v>
      </c>
      <c r="F259" t="s">
        <v>24</v>
      </c>
      <c r="G259" t="s">
        <v>63</v>
      </c>
      <c r="H259" s="8">
        <v>4</v>
      </c>
      <c r="I259" s="8">
        <v>162.99</v>
      </c>
      <c r="J259" s="8">
        <v>0</v>
      </c>
      <c r="K259" s="3">
        <v>651.96</v>
      </c>
      <c r="L259" t="s">
        <v>19</v>
      </c>
      <c r="M259" t="s">
        <v>36</v>
      </c>
      <c r="N259" s="3">
        <f>Table1[[#This Row],[Quantity]]*Table1[[#This Row],[UnitPrice]]*(1-Table1[[#This Row],[Discount]])</f>
        <v>651.96</v>
      </c>
    </row>
    <row r="260" spans="1:14" x14ac:dyDescent="0.35">
      <c r="A260" s="8">
        <v>1204</v>
      </c>
      <c r="B260" s="2">
        <v>46133</v>
      </c>
      <c r="C260" t="s">
        <v>14</v>
      </c>
      <c r="D260" t="s">
        <v>47</v>
      </c>
      <c r="E260" t="s">
        <v>85</v>
      </c>
      <c r="F260" t="s">
        <v>24</v>
      </c>
      <c r="G260" t="s">
        <v>38</v>
      </c>
      <c r="H260" s="8">
        <v>6</v>
      </c>
      <c r="I260" s="8">
        <v>582.33000000000004</v>
      </c>
      <c r="J260" s="8">
        <v>0.05</v>
      </c>
      <c r="K260" s="3">
        <v>3319.28</v>
      </c>
      <c r="L260" t="s">
        <v>39</v>
      </c>
      <c r="M260" t="s">
        <v>36</v>
      </c>
      <c r="N260" s="3">
        <f>Table1[[#This Row],[Quantity]]*Table1[[#This Row],[UnitPrice]]*(1-Table1[[#This Row],[Discount]])</f>
        <v>3319.2810000000004</v>
      </c>
    </row>
    <row r="261" spans="1:14" x14ac:dyDescent="0.35">
      <c r="A261" s="8">
        <v>1074</v>
      </c>
      <c r="B261" s="2">
        <v>46141</v>
      </c>
      <c r="C261" t="s">
        <v>21</v>
      </c>
      <c r="D261" t="s">
        <v>31</v>
      </c>
      <c r="E261" t="s">
        <v>111</v>
      </c>
      <c r="F261" t="s">
        <v>24</v>
      </c>
      <c r="G261" t="s">
        <v>38</v>
      </c>
      <c r="H261" s="8">
        <v>3</v>
      </c>
      <c r="I261" s="8">
        <v>209.76</v>
      </c>
      <c r="J261" s="8">
        <v>0.1</v>
      </c>
      <c r="K261" s="3">
        <v>566.35</v>
      </c>
      <c r="L261" t="s">
        <v>39</v>
      </c>
      <c r="M261" t="s">
        <v>26</v>
      </c>
      <c r="N261" s="3">
        <f>Table1[[#This Row],[Quantity]]*Table1[[#This Row],[UnitPrice]]*(1-Table1[[#This Row],[Discount]])</f>
        <v>566.35199999999998</v>
      </c>
    </row>
    <row r="262" spans="1:14" x14ac:dyDescent="0.35">
      <c r="A262" s="8">
        <v>1029</v>
      </c>
      <c r="B262" s="2">
        <v>46144</v>
      </c>
      <c r="C262" t="s">
        <v>27</v>
      </c>
      <c r="D262" t="s">
        <v>31</v>
      </c>
      <c r="E262" t="s">
        <v>114</v>
      </c>
      <c r="F262" t="s">
        <v>33</v>
      </c>
      <c r="G262" t="s">
        <v>34</v>
      </c>
      <c r="I262" s="8">
        <v>213.59</v>
      </c>
      <c r="J262" s="8">
        <v>0</v>
      </c>
      <c r="K262" s="3">
        <v>1067.95</v>
      </c>
      <c r="L262" t="s">
        <v>19</v>
      </c>
      <c r="M262" t="s">
        <v>36</v>
      </c>
      <c r="N262" s="3">
        <f>Table1[[#This Row],[Quantity]]*Table1[[#This Row],[UnitPrice]]*(1-Table1[[#This Row],[Discount]])</f>
        <v>0</v>
      </c>
    </row>
    <row r="263" spans="1:14" x14ac:dyDescent="0.35">
      <c r="A263" s="8">
        <v>1035</v>
      </c>
      <c r="B263" s="2">
        <v>46144</v>
      </c>
      <c r="C263" t="s">
        <v>43</v>
      </c>
      <c r="D263" t="s">
        <v>31</v>
      </c>
      <c r="E263" t="s">
        <v>103</v>
      </c>
      <c r="F263" t="s">
        <v>17</v>
      </c>
      <c r="G263" t="s">
        <v>30</v>
      </c>
      <c r="H263">
        <v>5</v>
      </c>
      <c r="I263" s="8">
        <v>740.88</v>
      </c>
      <c r="J263" s="8">
        <v>0.1</v>
      </c>
      <c r="K263" s="3">
        <v>3333.96</v>
      </c>
      <c r="L263" t="s">
        <v>39</v>
      </c>
      <c r="M263" t="s">
        <v>26</v>
      </c>
      <c r="N263" s="3">
        <f>Table1[[#This Row],[Quantity]]*Table1[[#This Row],[UnitPrice]]*(1-Table1[[#This Row],[Discount]])</f>
        <v>3333.96</v>
      </c>
    </row>
    <row r="264" spans="1:14" x14ac:dyDescent="0.35">
      <c r="A264" s="8">
        <v>1043</v>
      </c>
      <c r="B264" s="2">
        <v>46145</v>
      </c>
      <c r="C264" t="s">
        <v>14</v>
      </c>
      <c r="D264" t="s">
        <v>31</v>
      </c>
      <c r="E264" t="s">
        <v>72</v>
      </c>
      <c r="F264" t="s">
        <v>24</v>
      </c>
      <c r="G264" t="s">
        <v>63</v>
      </c>
      <c r="H264">
        <v>2</v>
      </c>
      <c r="I264" s="8">
        <v>597.08000000000004</v>
      </c>
      <c r="J264" s="8">
        <v>0.15</v>
      </c>
      <c r="K264" s="3">
        <v>1015.04</v>
      </c>
      <c r="L264" t="s">
        <v>35</v>
      </c>
      <c r="M264" t="s">
        <v>36</v>
      </c>
      <c r="N264" s="3">
        <f>Table1[[#This Row],[Quantity]]*Table1[[#This Row],[UnitPrice]]*(1-Table1[[#This Row],[Discount]])</f>
        <v>1015.0360000000001</v>
      </c>
    </row>
    <row r="265" spans="1:14" x14ac:dyDescent="0.35">
      <c r="A265" s="8">
        <v>1261</v>
      </c>
      <c r="B265" s="2">
        <v>46145</v>
      </c>
      <c r="C265" t="s">
        <v>14</v>
      </c>
      <c r="D265" t="s">
        <v>47</v>
      </c>
      <c r="E265" t="s">
        <v>108</v>
      </c>
      <c r="F265" t="s">
        <v>17</v>
      </c>
      <c r="G265" t="s">
        <v>18</v>
      </c>
      <c r="H265">
        <v>1</v>
      </c>
      <c r="I265" s="8">
        <v>993.21</v>
      </c>
      <c r="J265" s="8">
        <v>0.1</v>
      </c>
      <c r="K265" s="3">
        <v>893.89</v>
      </c>
      <c r="L265" t="s">
        <v>19</v>
      </c>
      <c r="M265" t="s">
        <v>36</v>
      </c>
      <c r="N265" s="3">
        <f>Table1[[#This Row],[Quantity]]*Table1[[#This Row],[UnitPrice]]*(1-Table1[[#This Row],[Discount]])</f>
        <v>893.88900000000001</v>
      </c>
    </row>
    <row r="266" spans="1:14" x14ac:dyDescent="0.35">
      <c r="A266" s="8">
        <v>1001</v>
      </c>
      <c r="B266" s="2">
        <v>46146</v>
      </c>
      <c r="C266" t="s">
        <v>21</v>
      </c>
      <c r="D266" t="s">
        <v>15</v>
      </c>
      <c r="E266" t="s">
        <v>94</v>
      </c>
      <c r="F266" t="s">
        <v>17</v>
      </c>
      <c r="G266" t="s">
        <v>30</v>
      </c>
      <c r="H266" s="8">
        <v>4</v>
      </c>
      <c r="I266" s="8">
        <v>424.95</v>
      </c>
      <c r="J266" s="8">
        <v>0.1</v>
      </c>
      <c r="K266" s="3">
        <v>1529.82</v>
      </c>
      <c r="L266" t="s">
        <v>35</v>
      </c>
      <c r="M266" t="s">
        <v>26</v>
      </c>
      <c r="N266" s="3">
        <f>Table1[[#This Row],[Quantity]]*Table1[[#This Row],[UnitPrice]]*(1-Table1[[#This Row],[Discount]])</f>
        <v>1529.82</v>
      </c>
    </row>
    <row r="267" spans="1:14" x14ac:dyDescent="0.35">
      <c r="A267" s="8">
        <v>1244</v>
      </c>
      <c r="B267" s="2">
        <v>46146</v>
      </c>
      <c r="C267" t="s">
        <v>14</v>
      </c>
      <c r="D267" t="s">
        <v>31</v>
      </c>
      <c r="E267" t="s">
        <v>65</v>
      </c>
      <c r="F267" t="s">
        <v>24</v>
      </c>
      <c r="G267" t="s">
        <v>25</v>
      </c>
      <c r="H267">
        <v>8</v>
      </c>
      <c r="I267" s="8">
        <v>790.57</v>
      </c>
      <c r="J267" s="8">
        <v>0</v>
      </c>
      <c r="K267" s="3">
        <v>6324.56</v>
      </c>
      <c r="L267" t="s">
        <v>39</v>
      </c>
      <c r="M267" t="s">
        <v>26</v>
      </c>
      <c r="N267" s="3">
        <f>Table1[[#This Row],[Quantity]]*Table1[[#This Row],[UnitPrice]]*(1-Table1[[#This Row],[Discount]])</f>
        <v>6324.56</v>
      </c>
    </row>
    <row r="268" spans="1:14" x14ac:dyDescent="0.35">
      <c r="A268" s="8">
        <v>1230</v>
      </c>
      <c r="B268" s="2">
        <v>46149</v>
      </c>
      <c r="C268" t="s">
        <v>21</v>
      </c>
      <c r="D268" t="s">
        <v>31</v>
      </c>
      <c r="E268" t="s">
        <v>45</v>
      </c>
      <c r="F268" t="s">
        <v>33</v>
      </c>
      <c r="G268" t="s">
        <v>53</v>
      </c>
      <c r="H268">
        <v>12</v>
      </c>
      <c r="I268" s="8">
        <v>897.6</v>
      </c>
      <c r="J268" s="8">
        <v>0</v>
      </c>
      <c r="K268" s="3">
        <v>10771.2</v>
      </c>
      <c r="L268" t="s">
        <v>19</v>
      </c>
      <c r="M268" t="s">
        <v>36</v>
      </c>
      <c r="N268" s="3">
        <f>Table1[[#This Row],[Quantity]]*Table1[[#This Row],[UnitPrice]]*(1-Table1[[#This Row],[Discount]])</f>
        <v>10771.2</v>
      </c>
    </row>
    <row r="269" spans="1:14" x14ac:dyDescent="0.35">
      <c r="A269" s="8">
        <v>1290</v>
      </c>
      <c r="B269" s="2">
        <v>46150</v>
      </c>
      <c r="C269" t="s">
        <v>27</v>
      </c>
      <c r="D269" t="s">
        <v>22</v>
      </c>
      <c r="E269" t="s">
        <v>121</v>
      </c>
      <c r="F269" t="s">
        <v>17</v>
      </c>
      <c r="G269" t="s">
        <v>30</v>
      </c>
      <c r="H269">
        <v>1</v>
      </c>
      <c r="I269" s="8">
        <v>759.55</v>
      </c>
      <c r="J269" s="8">
        <v>0.05</v>
      </c>
      <c r="K269" s="3">
        <v>721.57</v>
      </c>
      <c r="L269" t="s">
        <v>35</v>
      </c>
      <c r="M269" t="s">
        <v>20</v>
      </c>
      <c r="N269" s="3">
        <f>Table1[[#This Row],[Quantity]]*Table1[[#This Row],[UnitPrice]]*(1-Table1[[#This Row],[Discount]])</f>
        <v>721.57249999999988</v>
      </c>
    </row>
    <row r="270" spans="1:14" x14ac:dyDescent="0.35">
      <c r="A270" s="8">
        <v>1186</v>
      </c>
      <c r="B270" s="2">
        <v>46155</v>
      </c>
      <c r="C270" t="s">
        <v>27</v>
      </c>
      <c r="D270" t="s">
        <v>15</v>
      </c>
      <c r="E270" t="s">
        <v>41</v>
      </c>
      <c r="F270" t="s">
        <v>33</v>
      </c>
      <c r="G270" t="s">
        <v>61</v>
      </c>
      <c r="H270">
        <v>6</v>
      </c>
      <c r="I270" s="8">
        <v>360.82</v>
      </c>
      <c r="J270" s="8">
        <v>0.15</v>
      </c>
      <c r="K270" s="3">
        <v>1840.18</v>
      </c>
      <c r="L270" t="s">
        <v>39</v>
      </c>
      <c r="M270" t="s">
        <v>20</v>
      </c>
      <c r="N270" s="3">
        <f>Table1[[#This Row],[Quantity]]*Table1[[#This Row],[UnitPrice]]*(1-Table1[[#This Row],[Discount]])</f>
        <v>1840.182</v>
      </c>
    </row>
    <row r="271" spans="1:14" x14ac:dyDescent="0.35">
      <c r="A271" s="8">
        <v>1141</v>
      </c>
      <c r="B271" s="2">
        <v>46156</v>
      </c>
      <c r="C271" t="s">
        <v>43</v>
      </c>
      <c r="D271" t="s">
        <v>31</v>
      </c>
      <c r="E271" t="s">
        <v>40</v>
      </c>
      <c r="F271" t="s">
        <v>24</v>
      </c>
      <c r="G271" t="s">
        <v>63</v>
      </c>
      <c r="H271">
        <v>2</v>
      </c>
      <c r="I271" s="8">
        <v>1069</v>
      </c>
      <c r="J271" s="8">
        <v>0.1</v>
      </c>
      <c r="K271" s="3">
        <v>1924.2</v>
      </c>
      <c r="L271" t="s">
        <v>39</v>
      </c>
      <c r="M271" t="s">
        <v>26</v>
      </c>
      <c r="N271" s="3">
        <f>Table1[[#This Row],[Quantity]]*Table1[[#This Row],[UnitPrice]]*(1-Table1[[#This Row],[Discount]])</f>
        <v>1924.2</v>
      </c>
    </row>
    <row r="272" spans="1:14" x14ac:dyDescent="0.35">
      <c r="A272" s="8">
        <v>1194</v>
      </c>
      <c r="B272" s="2">
        <v>46158</v>
      </c>
      <c r="C272" t="s">
        <v>27</v>
      </c>
      <c r="D272" t="s">
        <v>15</v>
      </c>
      <c r="E272" t="s">
        <v>91</v>
      </c>
      <c r="F272" t="s">
        <v>33</v>
      </c>
      <c r="G272" t="s">
        <v>61</v>
      </c>
      <c r="H272">
        <v>6</v>
      </c>
      <c r="I272" s="8">
        <v>1041.3</v>
      </c>
      <c r="J272" s="8">
        <v>0.15</v>
      </c>
      <c r="K272" s="3">
        <v>5310.63</v>
      </c>
      <c r="L272" t="s">
        <v>19</v>
      </c>
      <c r="M272" t="s">
        <v>36</v>
      </c>
      <c r="N272" s="3">
        <f>Table1[[#This Row],[Quantity]]*Table1[[#This Row],[UnitPrice]]*(1-Table1[[#This Row],[Discount]])</f>
        <v>5310.6299999999992</v>
      </c>
    </row>
    <row r="273" spans="1:14" x14ac:dyDescent="0.35">
      <c r="A273" s="8">
        <v>1004</v>
      </c>
      <c r="B273" s="2">
        <v>46159</v>
      </c>
      <c r="C273" t="s">
        <v>14</v>
      </c>
      <c r="D273" t="s">
        <v>22</v>
      </c>
      <c r="E273" t="s">
        <v>116</v>
      </c>
      <c r="F273" t="s">
        <v>17</v>
      </c>
      <c r="G273" t="s">
        <v>46</v>
      </c>
      <c r="H273" s="8">
        <v>15</v>
      </c>
      <c r="I273" s="8">
        <v>874.8</v>
      </c>
      <c r="J273" s="8">
        <v>0.1</v>
      </c>
      <c r="K273" s="3">
        <v>11809.8</v>
      </c>
      <c r="L273" t="s">
        <v>35</v>
      </c>
      <c r="M273" t="s">
        <v>26</v>
      </c>
      <c r="N273" s="3">
        <f>Table1[[#This Row],[Quantity]]*Table1[[#This Row],[UnitPrice]]*(1-Table1[[#This Row],[Discount]])</f>
        <v>11809.800000000001</v>
      </c>
    </row>
    <row r="274" spans="1:14" x14ac:dyDescent="0.35">
      <c r="A274" s="8">
        <v>1167</v>
      </c>
      <c r="B274" s="2">
        <v>46160</v>
      </c>
      <c r="C274" t="s">
        <v>43</v>
      </c>
      <c r="D274" t="s">
        <v>15</v>
      </c>
      <c r="E274" t="s">
        <v>97</v>
      </c>
      <c r="F274" t="s">
        <v>17</v>
      </c>
      <c r="G274" t="s">
        <v>30</v>
      </c>
      <c r="H274">
        <v>8</v>
      </c>
      <c r="I274" s="8">
        <v>946.07</v>
      </c>
      <c r="J274" s="8">
        <v>0</v>
      </c>
      <c r="K274" s="3">
        <v>7568.56</v>
      </c>
      <c r="L274" t="s">
        <v>39</v>
      </c>
      <c r="M274" t="s">
        <v>36</v>
      </c>
      <c r="N274" s="3">
        <f>Table1[[#This Row],[Quantity]]*Table1[[#This Row],[UnitPrice]]*(1-Table1[[#This Row],[Discount]])</f>
        <v>7568.56</v>
      </c>
    </row>
    <row r="275" spans="1:14" x14ac:dyDescent="0.35">
      <c r="A275" s="8">
        <v>1208</v>
      </c>
      <c r="B275" s="2">
        <v>46160</v>
      </c>
      <c r="C275" t="s">
        <v>27</v>
      </c>
      <c r="D275" t="s">
        <v>54</v>
      </c>
      <c r="E275" t="s">
        <v>108</v>
      </c>
      <c r="F275" t="s">
        <v>17</v>
      </c>
      <c r="G275" t="s">
        <v>46</v>
      </c>
      <c r="H275">
        <v>7</v>
      </c>
      <c r="I275" s="8">
        <v>1027.21</v>
      </c>
      <c r="J275" s="8">
        <v>0.1</v>
      </c>
      <c r="K275" s="3">
        <v>6471.42</v>
      </c>
      <c r="L275" t="s">
        <v>39</v>
      </c>
      <c r="M275" t="s">
        <v>26</v>
      </c>
      <c r="N275" s="3">
        <f>Table1[[#This Row],[Quantity]]*Table1[[#This Row],[UnitPrice]]*(1-Table1[[#This Row],[Discount]])</f>
        <v>6471.4230000000007</v>
      </c>
    </row>
    <row r="276" spans="1:14" x14ac:dyDescent="0.35">
      <c r="A276" s="8">
        <v>1123</v>
      </c>
      <c r="B276" s="2">
        <v>46163</v>
      </c>
      <c r="C276" t="s">
        <v>21</v>
      </c>
      <c r="D276" t="s">
        <v>28</v>
      </c>
      <c r="E276" t="s">
        <v>114</v>
      </c>
      <c r="F276" t="s">
        <v>33</v>
      </c>
      <c r="G276" t="s">
        <v>61</v>
      </c>
      <c r="H276">
        <v>2</v>
      </c>
      <c r="I276" s="8">
        <v>1075.27</v>
      </c>
      <c r="J276" s="8">
        <v>0</v>
      </c>
      <c r="K276" s="3">
        <v>2150.54</v>
      </c>
      <c r="L276" t="s">
        <v>19</v>
      </c>
      <c r="M276" t="s">
        <v>36</v>
      </c>
      <c r="N276" s="3">
        <f>Table1[[#This Row],[Quantity]]*Table1[[#This Row],[UnitPrice]]*(1-Table1[[#This Row],[Discount]])</f>
        <v>2150.54</v>
      </c>
    </row>
    <row r="277" spans="1:14" x14ac:dyDescent="0.35">
      <c r="A277" s="8">
        <v>1137</v>
      </c>
      <c r="B277" s="2">
        <v>46163</v>
      </c>
      <c r="C277" t="s">
        <v>43</v>
      </c>
      <c r="D277" t="s">
        <v>54</v>
      </c>
      <c r="E277" t="s">
        <v>59</v>
      </c>
      <c r="F277" t="s">
        <v>24</v>
      </c>
      <c r="G277" t="s">
        <v>25</v>
      </c>
      <c r="H277">
        <v>2</v>
      </c>
      <c r="I277" s="8">
        <v>249.82</v>
      </c>
      <c r="J277" s="8">
        <v>0.15</v>
      </c>
      <c r="K277" s="3">
        <v>424.69</v>
      </c>
      <c r="L277" t="s">
        <v>19</v>
      </c>
      <c r="M277" t="s">
        <v>36</v>
      </c>
      <c r="N277" s="3">
        <f>Table1[[#This Row],[Quantity]]*Table1[[#This Row],[UnitPrice]]*(1-Table1[[#This Row],[Discount]])</f>
        <v>424.69399999999996</v>
      </c>
    </row>
    <row r="278" spans="1:14" x14ac:dyDescent="0.35">
      <c r="A278" s="8">
        <v>1184</v>
      </c>
      <c r="B278" s="2">
        <v>46167</v>
      </c>
      <c r="C278" t="s">
        <v>27</v>
      </c>
      <c r="D278" t="s">
        <v>47</v>
      </c>
      <c r="E278" t="s">
        <v>57</v>
      </c>
      <c r="F278" t="s">
        <v>33</v>
      </c>
      <c r="G278" t="s">
        <v>34</v>
      </c>
      <c r="H278">
        <v>1</v>
      </c>
      <c r="I278" s="8">
        <v>1164.6099999999999</v>
      </c>
      <c r="J278" s="8">
        <v>0.05</v>
      </c>
      <c r="K278" s="3">
        <v>1106.3800000000001</v>
      </c>
      <c r="L278" t="s">
        <v>19</v>
      </c>
      <c r="M278" t="s">
        <v>20</v>
      </c>
      <c r="N278" s="3">
        <f>Table1[[#This Row],[Quantity]]*Table1[[#This Row],[UnitPrice]]*(1-Table1[[#This Row],[Discount]])</f>
        <v>1106.3794999999998</v>
      </c>
    </row>
    <row r="279" spans="1:14" x14ac:dyDescent="0.35">
      <c r="A279" s="8">
        <v>1241</v>
      </c>
      <c r="B279" s="2">
        <v>46167</v>
      </c>
      <c r="C279" t="s">
        <v>43</v>
      </c>
      <c r="D279" t="s">
        <v>31</v>
      </c>
      <c r="E279" t="s">
        <v>90</v>
      </c>
      <c r="F279" t="s">
        <v>17</v>
      </c>
      <c r="G279" t="s">
        <v>18</v>
      </c>
      <c r="H279">
        <v>8</v>
      </c>
      <c r="I279" s="8">
        <v>1193.77</v>
      </c>
      <c r="J279" s="8">
        <v>0.15</v>
      </c>
      <c r="K279" s="3">
        <v>8117.64</v>
      </c>
      <c r="L279" t="s">
        <v>35</v>
      </c>
      <c r="M279" t="s">
        <v>20</v>
      </c>
      <c r="N279" s="3">
        <f>Table1[[#This Row],[Quantity]]*Table1[[#This Row],[UnitPrice]]*(1-Table1[[#This Row],[Discount]])</f>
        <v>8117.6359999999995</v>
      </c>
    </row>
    <row r="280" spans="1:14" x14ac:dyDescent="0.35">
      <c r="A280" s="8">
        <v>1195</v>
      </c>
      <c r="B280" s="2">
        <v>46170</v>
      </c>
      <c r="C280" t="s">
        <v>43</v>
      </c>
      <c r="D280" t="s">
        <v>22</v>
      </c>
      <c r="E280" t="s">
        <v>77</v>
      </c>
      <c r="F280" t="s">
        <v>24</v>
      </c>
      <c r="G280" t="s">
        <v>38</v>
      </c>
      <c r="H280">
        <v>14</v>
      </c>
      <c r="I280" s="8">
        <v>162.52000000000001</v>
      </c>
      <c r="J280" s="8">
        <v>0.05</v>
      </c>
      <c r="K280" s="3">
        <v>2161.52</v>
      </c>
      <c r="L280" t="s">
        <v>19</v>
      </c>
      <c r="M280" t="s">
        <v>26</v>
      </c>
      <c r="N280" s="3">
        <f>Table1[[#This Row],[Quantity]]*Table1[[#This Row],[UnitPrice]]*(1-Table1[[#This Row],[Discount]])</f>
        <v>2161.5160000000001</v>
      </c>
    </row>
    <row r="281" spans="1:14" x14ac:dyDescent="0.35">
      <c r="A281" s="8">
        <v>1174</v>
      </c>
      <c r="B281" s="2">
        <v>46171</v>
      </c>
      <c r="C281" t="s">
        <v>14</v>
      </c>
      <c r="D281" t="s">
        <v>47</v>
      </c>
      <c r="E281" t="s">
        <v>65</v>
      </c>
      <c r="F281" t="s">
        <v>24</v>
      </c>
      <c r="G281" t="s">
        <v>63</v>
      </c>
      <c r="H281">
        <v>1</v>
      </c>
      <c r="I281" s="8">
        <v>1003.21</v>
      </c>
      <c r="J281" s="8">
        <v>0</v>
      </c>
      <c r="K281" s="3">
        <v>1003.21</v>
      </c>
      <c r="L281" t="s">
        <v>39</v>
      </c>
      <c r="M281" t="s">
        <v>36</v>
      </c>
      <c r="N281" s="3">
        <f>Table1[[#This Row],[Quantity]]*Table1[[#This Row],[UnitPrice]]*(1-Table1[[#This Row],[Discount]])</f>
        <v>1003.21</v>
      </c>
    </row>
    <row r="282" spans="1:14" x14ac:dyDescent="0.35">
      <c r="A282" s="8">
        <v>1155</v>
      </c>
      <c r="B282" s="2">
        <v>46172</v>
      </c>
      <c r="C282" t="s">
        <v>43</v>
      </c>
      <c r="D282" t="s">
        <v>31</v>
      </c>
      <c r="E282" t="s">
        <v>41</v>
      </c>
      <c r="F282" t="s">
        <v>33</v>
      </c>
      <c r="G282" t="s">
        <v>53</v>
      </c>
      <c r="H282">
        <v>6</v>
      </c>
      <c r="I282" s="8">
        <v>1123.44</v>
      </c>
      <c r="J282" s="8">
        <v>0</v>
      </c>
      <c r="K282" s="3">
        <v>6740.64</v>
      </c>
      <c r="L282" t="s">
        <v>35</v>
      </c>
      <c r="M282" t="s">
        <v>36</v>
      </c>
      <c r="N282" s="3">
        <f>Table1[[#This Row],[Quantity]]*Table1[[#This Row],[UnitPrice]]*(1-Table1[[#This Row],[Discount]])</f>
        <v>6740.64</v>
      </c>
    </row>
    <row r="283" spans="1:14" x14ac:dyDescent="0.35">
      <c r="A283" s="8">
        <v>1190</v>
      </c>
      <c r="B283" s="2">
        <v>46172</v>
      </c>
      <c r="C283" t="s">
        <v>27</v>
      </c>
      <c r="D283" t="s">
        <v>31</v>
      </c>
      <c r="E283" t="s">
        <v>81</v>
      </c>
      <c r="F283" t="s">
        <v>24</v>
      </c>
      <c r="G283" t="s">
        <v>38</v>
      </c>
      <c r="H283">
        <v>4</v>
      </c>
      <c r="I283" s="8">
        <v>96.88</v>
      </c>
      <c r="J283" s="8">
        <v>0.1</v>
      </c>
      <c r="K283" s="3">
        <v>348.77</v>
      </c>
      <c r="L283" t="s">
        <v>19</v>
      </c>
      <c r="M283" t="s">
        <v>26</v>
      </c>
      <c r="N283" s="3">
        <f>Table1[[#This Row],[Quantity]]*Table1[[#This Row],[UnitPrice]]*(1-Table1[[#This Row],[Discount]])</f>
        <v>348.76799999999997</v>
      </c>
    </row>
    <row r="284" spans="1:14" x14ac:dyDescent="0.35">
      <c r="A284" s="8">
        <v>1271</v>
      </c>
      <c r="B284" s="2">
        <v>46172</v>
      </c>
      <c r="C284" t="s">
        <v>21</v>
      </c>
      <c r="D284" t="s">
        <v>54</v>
      </c>
      <c r="E284" t="s">
        <v>99</v>
      </c>
      <c r="F284" t="s">
        <v>17</v>
      </c>
      <c r="G284" t="s">
        <v>30</v>
      </c>
      <c r="H284">
        <v>15</v>
      </c>
      <c r="I284" s="8">
        <v>883.6</v>
      </c>
      <c r="J284" s="8">
        <v>0.05</v>
      </c>
      <c r="K284" s="3">
        <v>12591.3</v>
      </c>
      <c r="L284" t="s">
        <v>19</v>
      </c>
      <c r="M284" t="s">
        <v>26</v>
      </c>
      <c r="N284" s="3">
        <f>Table1[[#This Row],[Quantity]]*Table1[[#This Row],[UnitPrice]]*(1-Table1[[#This Row],[Discount]])</f>
        <v>12591.3</v>
      </c>
    </row>
    <row r="285" spans="1:14" x14ac:dyDescent="0.35">
      <c r="A285" s="8">
        <v>1012</v>
      </c>
      <c r="B285" s="2">
        <v>46175</v>
      </c>
      <c r="C285" t="s">
        <v>14</v>
      </c>
      <c r="D285" t="s">
        <v>28</v>
      </c>
      <c r="E285" t="s">
        <v>44</v>
      </c>
      <c r="F285" t="s">
        <v>33</v>
      </c>
      <c r="G285" t="s">
        <v>53</v>
      </c>
      <c r="H285" s="8">
        <v>7</v>
      </c>
      <c r="I285" s="8">
        <v>767.22</v>
      </c>
      <c r="J285" s="8">
        <v>0.05</v>
      </c>
      <c r="K285" s="3">
        <v>5102.01</v>
      </c>
      <c r="L285" t="s">
        <v>39</v>
      </c>
      <c r="M285" t="s">
        <v>20</v>
      </c>
      <c r="N285" s="3">
        <f>Table1[[#This Row],[Quantity]]*Table1[[#This Row],[UnitPrice]]*(1-Table1[[#This Row],[Discount]])</f>
        <v>5102.0129999999999</v>
      </c>
    </row>
    <row r="286" spans="1:14" x14ac:dyDescent="0.35">
      <c r="A286" s="8">
        <v>1295</v>
      </c>
      <c r="B286" s="2">
        <v>46178</v>
      </c>
      <c r="C286" t="s">
        <v>27</v>
      </c>
      <c r="D286" t="s">
        <v>22</v>
      </c>
      <c r="E286" t="s">
        <v>66</v>
      </c>
      <c r="F286" t="s">
        <v>24</v>
      </c>
      <c r="G286" t="s">
        <v>38</v>
      </c>
      <c r="H286">
        <v>3</v>
      </c>
      <c r="I286" s="8">
        <v>174.72</v>
      </c>
      <c r="J286" s="8">
        <v>0.15</v>
      </c>
      <c r="K286" s="3">
        <v>445.54</v>
      </c>
      <c r="L286" t="s">
        <v>19</v>
      </c>
      <c r="M286" t="s">
        <v>26</v>
      </c>
      <c r="N286" s="3">
        <f>Table1[[#This Row],[Quantity]]*Table1[[#This Row],[UnitPrice]]*(1-Table1[[#This Row],[Discount]])</f>
        <v>445.53599999999994</v>
      </c>
    </row>
    <row r="287" spans="1:14" x14ac:dyDescent="0.35">
      <c r="A287" s="8">
        <v>1005</v>
      </c>
      <c r="B287" s="2">
        <v>46180</v>
      </c>
      <c r="C287" t="s">
        <v>21</v>
      </c>
      <c r="D287" t="s">
        <v>28</v>
      </c>
      <c r="E287" t="s">
        <v>50</v>
      </c>
      <c r="F287" t="s">
        <v>33</v>
      </c>
      <c r="G287" t="s">
        <v>61</v>
      </c>
      <c r="H287" s="8">
        <v>8</v>
      </c>
      <c r="I287" s="8">
        <v>510.37</v>
      </c>
      <c r="J287" s="8">
        <v>0.05</v>
      </c>
      <c r="K287" s="3">
        <v>3878.81</v>
      </c>
      <c r="L287" t="s">
        <v>39</v>
      </c>
      <c r="M287" t="s">
        <v>26</v>
      </c>
      <c r="N287" s="3">
        <f>Table1[[#This Row],[Quantity]]*Table1[[#This Row],[UnitPrice]]*(1-Table1[[#This Row],[Discount]])</f>
        <v>3878.8119999999999</v>
      </c>
    </row>
    <row r="288" spans="1:14" x14ac:dyDescent="0.35">
      <c r="A288" s="8">
        <v>1013</v>
      </c>
      <c r="B288" s="2">
        <v>46181</v>
      </c>
      <c r="C288" t="s">
        <v>43</v>
      </c>
      <c r="D288" t="s">
        <v>15</v>
      </c>
      <c r="E288" t="s">
        <v>65</v>
      </c>
      <c r="F288" t="s">
        <v>33</v>
      </c>
      <c r="G288" t="s">
        <v>53</v>
      </c>
      <c r="H288" s="8">
        <v>14</v>
      </c>
      <c r="I288" s="8">
        <v>434.94</v>
      </c>
      <c r="J288" s="8">
        <v>0.15</v>
      </c>
      <c r="K288" s="3">
        <v>5175.79</v>
      </c>
      <c r="L288" t="s">
        <v>39</v>
      </c>
      <c r="M288" t="s">
        <v>26</v>
      </c>
      <c r="N288" s="3">
        <f>Table1[[#This Row],[Quantity]]*Table1[[#This Row],[UnitPrice]]*(1-Table1[[#This Row],[Discount]])</f>
        <v>5175.7860000000001</v>
      </c>
    </row>
    <row r="289" spans="1:14" x14ac:dyDescent="0.35">
      <c r="A289" s="8">
        <v>1207</v>
      </c>
      <c r="B289" s="2">
        <v>46181</v>
      </c>
      <c r="C289" t="s">
        <v>14</v>
      </c>
      <c r="D289" t="s">
        <v>28</v>
      </c>
      <c r="E289" t="s">
        <v>84</v>
      </c>
      <c r="F289" t="s">
        <v>33</v>
      </c>
      <c r="G289" t="s">
        <v>34</v>
      </c>
      <c r="H289">
        <v>13</v>
      </c>
      <c r="I289" s="8">
        <v>395.19</v>
      </c>
      <c r="J289" s="8">
        <v>0.15</v>
      </c>
      <c r="K289" s="3">
        <v>4366.8500000000004</v>
      </c>
      <c r="L289" t="s">
        <v>35</v>
      </c>
      <c r="M289" t="s">
        <v>36</v>
      </c>
      <c r="N289" s="3">
        <f>Table1[[#This Row],[Quantity]]*Table1[[#This Row],[UnitPrice]]*(1-Table1[[#This Row],[Discount]])</f>
        <v>4366.8495000000003</v>
      </c>
    </row>
    <row r="290" spans="1:14" x14ac:dyDescent="0.35">
      <c r="A290" s="8">
        <v>1083</v>
      </c>
      <c r="B290" s="2">
        <v>46187</v>
      </c>
      <c r="C290" t="s">
        <v>27</v>
      </c>
      <c r="D290" t="s">
        <v>15</v>
      </c>
      <c r="E290" t="s">
        <v>102</v>
      </c>
      <c r="F290" t="s">
        <v>24</v>
      </c>
      <c r="G290" t="s">
        <v>25</v>
      </c>
      <c r="H290">
        <v>10</v>
      </c>
      <c r="I290" s="8">
        <v>40.25</v>
      </c>
      <c r="J290" s="8">
        <v>0.15</v>
      </c>
      <c r="K290" s="3">
        <v>342.12</v>
      </c>
      <c r="L290" t="s">
        <v>35</v>
      </c>
      <c r="M290" t="s">
        <v>20</v>
      </c>
      <c r="N290" s="3">
        <f>Table1[[#This Row],[Quantity]]*Table1[[#This Row],[UnitPrice]]*(1-Table1[[#This Row],[Discount]])</f>
        <v>342.125</v>
      </c>
    </row>
    <row r="291" spans="1:14" x14ac:dyDescent="0.35">
      <c r="A291" s="8">
        <v>1275</v>
      </c>
      <c r="B291" s="2">
        <v>46187</v>
      </c>
      <c r="C291" t="s">
        <v>21</v>
      </c>
      <c r="D291" t="s">
        <v>31</v>
      </c>
      <c r="E291" t="s">
        <v>64</v>
      </c>
      <c r="F291" t="s">
        <v>17</v>
      </c>
      <c r="G291" t="s">
        <v>30</v>
      </c>
      <c r="H291">
        <v>5</v>
      </c>
      <c r="I291" s="8">
        <v>406.32</v>
      </c>
      <c r="J291" s="8">
        <v>0</v>
      </c>
      <c r="K291" s="3">
        <v>2031.6</v>
      </c>
      <c r="L291" t="s">
        <v>39</v>
      </c>
      <c r="M291" t="s">
        <v>26</v>
      </c>
      <c r="N291" s="3">
        <f>Table1[[#This Row],[Quantity]]*Table1[[#This Row],[UnitPrice]]*(1-Table1[[#This Row],[Discount]])</f>
        <v>2031.6</v>
      </c>
    </row>
    <row r="292" spans="1:14" x14ac:dyDescent="0.35">
      <c r="A292" s="8">
        <v>1042</v>
      </c>
      <c r="B292" s="2">
        <v>46188</v>
      </c>
      <c r="C292" t="s">
        <v>43</v>
      </c>
      <c r="D292" t="s">
        <v>47</v>
      </c>
      <c r="E292" t="s">
        <v>87</v>
      </c>
      <c r="F292" t="s">
        <v>33</v>
      </c>
      <c r="G292" t="s">
        <v>61</v>
      </c>
      <c r="H292">
        <v>3</v>
      </c>
      <c r="I292" s="8">
        <v>698.16</v>
      </c>
      <c r="J292" s="8">
        <v>0</v>
      </c>
      <c r="K292" s="3">
        <v>2094.48</v>
      </c>
      <c r="L292" t="s">
        <v>35</v>
      </c>
      <c r="M292" t="s">
        <v>36</v>
      </c>
      <c r="N292" s="3">
        <f>Table1[[#This Row],[Quantity]]*Table1[[#This Row],[UnitPrice]]*(1-Table1[[#This Row],[Discount]])</f>
        <v>2094.48</v>
      </c>
    </row>
    <row r="293" spans="1:14" x14ac:dyDescent="0.35">
      <c r="A293" s="8">
        <v>1242</v>
      </c>
      <c r="B293" s="2">
        <v>46188</v>
      </c>
      <c r="C293" t="s">
        <v>14</v>
      </c>
      <c r="D293" t="s">
        <v>22</v>
      </c>
      <c r="E293" t="s">
        <v>114</v>
      </c>
      <c r="F293" t="s">
        <v>17</v>
      </c>
      <c r="G293" t="s">
        <v>18</v>
      </c>
      <c r="H293">
        <v>2</v>
      </c>
      <c r="I293" s="8">
        <v>288.26</v>
      </c>
      <c r="J293" s="8">
        <v>0.15</v>
      </c>
      <c r="K293" s="3">
        <v>490.04</v>
      </c>
      <c r="L293" t="s">
        <v>19</v>
      </c>
      <c r="M293" t="s">
        <v>36</v>
      </c>
      <c r="N293" s="3">
        <f>Table1[[#This Row],[Quantity]]*Table1[[#This Row],[UnitPrice]]*(1-Table1[[#This Row],[Discount]])</f>
        <v>490.04199999999997</v>
      </c>
    </row>
    <row r="294" spans="1:14" x14ac:dyDescent="0.35">
      <c r="A294" s="8">
        <v>1251</v>
      </c>
      <c r="B294" s="2">
        <v>46190</v>
      </c>
      <c r="C294" t="s">
        <v>43</v>
      </c>
      <c r="D294" t="s">
        <v>54</v>
      </c>
      <c r="E294" t="s">
        <v>77</v>
      </c>
      <c r="F294" t="s">
        <v>33</v>
      </c>
      <c r="G294" t="s">
        <v>34</v>
      </c>
      <c r="H294">
        <v>1</v>
      </c>
      <c r="I294" s="8">
        <v>901.45</v>
      </c>
      <c r="J294" s="8">
        <v>0.1</v>
      </c>
      <c r="K294" s="3">
        <v>811.31</v>
      </c>
      <c r="L294" t="s">
        <v>35</v>
      </c>
      <c r="M294" t="s">
        <v>36</v>
      </c>
      <c r="N294" s="3">
        <f>Table1[[#This Row],[Quantity]]*Table1[[#This Row],[UnitPrice]]*(1-Table1[[#This Row],[Discount]])</f>
        <v>811.30500000000006</v>
      </c>
    </row>
    <row r="295" spans="1:14" x14ac:dyDescent="0.35">
      <c r="A295" s="8">
        <v>1135</v>
      </c>
      <c r="B295" s="2">
        <v>46192</v>
      </c>
      <c r="C295" t="s">
        <v>27</v>
      </c>
      <c r="D295" t="s">
        <v>54</v>
      </c>
      <c r="E295" t="s">
        <v>81</v>
      </c>
      <c r="F295" t="s">
        <v>17</v>
      </c>
      <c r="G295" t="s">
        <v>18</v>
      </c>
      <c r="H295">
        <v>6</v>
      </c>
      <c r="I295" s="8">
        <v>713.97</v>
      </c>
      <c r="J295" s="8">
        <v>0.15</v>
      </c>
      <c r="K295" s="3">
        <v>3641.25</v>
      </c>
      <c r="L295" t="s">
        <v>19</v>
      </c>
      <c r="M295" t="s">
        <v>20</v>
      </c>
      <c r="N295" s="3">
        <f>Table1[[#This Row],[Quantity]]*Table1[[#This Row],[UnitPrice]]*(1-Table1[[#This Row],[Discount]])</f>
        <v>3641.2469999999998</v>
      </c>
    </row>
    <row r="296" spans="1:14" x14ac:dyDescent="0.35">
      <c r="A296" s="8">
        <v>1187</v>
      </c>
      <c r="B296" s="2">
        <v>46194</v>
      </c>
      <c r="C296" t="s">
        <v>27</v>
      </c>
      <c r="D296" t="s">
        <v>28</v>
      </c>
      <c r="E296" t="s">
        <v>16</v>
      </c>
      <c r="F296" t="s">
        <v>33</v>
      </c>
      <c r="G296" t="s">
        <v>53</v>
      </c>
      <c r="H296">
        <v>7</v>
      </c>
      <c r="I296" s="8">
        <v>560.34</v>
      </c>
      <c r="J296" s="8">
        <v>0.15</v>
      </c>
      <c r="K296" s="3">
        <v>3334.02</v>
      </c>
      <c r="L296" t="s">
        <v>19</v>
      </c>
      <c r="M296" t="s">
        <v>20</v>
      </c>
      <c r="N296" s="3">
        <f>Table1[[#This Row],[Quantity]]*Table1[[#This Row],[UnitPrice]]*(1-Table1[[#This Row],[Discount]])</f>
        <v>3334.0230000000001</v>
      </c>
    </row>
    <row r="297" spans="1:14" x14ac:dyDescent="0.35">
      <c r="A297" s="8">
        <v>1027</v>
      </c>
      <c r="B297" s="2">
        <v>46195</v>
      </c>
      <c r="C297" t="s">
        <v>43</v>
      </c>
      <c r="D297" t="s">
        <v>47</v>
      </c>
      <c r="E297" t="s">
        <v>50</v>
      </c>
      <c r="F297" t="s">
        <v>24</v>
      </c>
      <c r="G297" t="s">
        <v>38</v>
      </c>
      <c r="H297" s="8">
        <v>15</v>
      </c>
      <c r="I297" s="8">
        <v>962.28</v>
      </c>
      <c r="J297" s="8">
        <v>0.1</v>
      </c>
      <c r="K297" s="3">
        <v>12990.78</v>
      </c>
      <c r="L297" t="s">
        <v>19</v>
      </c>
      <c r="M297" t="s">
        <v>20</v>
      </c>
      <c r="N297" s="3">
        <f>Table1[[#This Row],[Quantity]]*Table1[[#This Row],[UnitPrice]]*(1-Table1[[#This Row],[Discount]])</f>
        <v>12990.779999999999</v>
      </c>
    </row>
    <row r="298" spans="1:14" x14ac:dyDescent="0.35">
      <c r="A298" s="8">
        <v>1149</v>
      </c>
      <c r="B298" s="2">
        <v>46195</v>
      </c>
      <c r="C298" t="s">
        <v>21</v>
      </c>
      <c r="D298" t="s">
        <v>28</v>
      </c>
      <c r="E298" t="s">
        <v>69</v>
      </c>
      <c r="F298" t="s">
        <v>17</v>
      </c>
      <c r="G298" t="s">
        <v>46</v>
      </c>
      <c r="H298">
        <v>10</v>
      </c>
      <c r="I298" s="8">
        <v>1063.48</v>
      </c>
      <c r="J298" s="8">
        <v>0.05</v>
      </c>
      <c r="K298" s="3">
        <v>10103.06</v>
      </c>
      <c r="L298" t="s">
        <v>35</v>
      </c>
      <c r="M298" t="s">
        <v>26</v>
      </c>
      <c r="N298" s="3">
        <f>Table1[[#This Row],[Quantity]]*Table1[[#This Row],[UnitPrice]]*(1-Table1[[#This Row],[Discount]])</f>
        <v>10103.06</v>
      </c>
    </row>
    <row r="299" spans="1:14" x14ac:dyDescent="0.35">
      <c r="A299" s="8">
        <v>1106</v>
      </c>
      <c r="B299" s="2">
        <v>46196</v>
      </c>
      <c r="C299" t="s">
        <v>43</v>
      </c>
      <c r="D299" t="s">
        <v>15</v>
      </c>
      <c r="E299" t="s">
        <v>85</v>
      </c>
      <c r="F299" t="s">
        <v>24</v>
      </c>
      <c r="G299" t="s">
        <v>25</v>
      </c>
      <c r="H299">
        <v>15</v>
      </c>
      <c r="I299" s="8">
        <v>564.28</v>
      </c>
      <c r="J299" s="8">
        <v>0</v>
      </c>
      <c r="K299" s="3">
        <v>8464.2000000000007</v>
      </c>
      <c r="L299" t="s">
        <v>35</v>
      </c>
      <c r="M299" t="s">
        <v>36</v>
      </c>
      <c r="N299" s="3">
        <f>Table1[[#This Row],[Quantity]]*Table1[[#This Row],[UnitPrice]]*(1-Table1[[#This Row],[Discount]])</f>
        <v>8464.1999999999989</v>
      </c>
    </row>
    <row r="300" spans="1:14" x14ac:dyDescent="0.35">
      <c r="A300" s="8">
        <v>1151</v>
      </c>
      <c r="B300" s="2">
        <v>46197</v>
      </c>
      <c r="C300" t="s">
        <v>27</v>
      </c>
      <c r="D300" t="s">
        <v>31</v>
      </c>
      <c r="E300" t="s">
        <v>97</v>
      </c>
      <c r="F300" t="s">
        <v>17</v>
      </c>
      <c r="G300" t="s">
        <v>46</v>
      </c>
      <c r="H300">
        <v>3</v>
      </c>
      <c r="I300" s="8">
        <v>411.34</v>
      </c>
      <c r="J300" s="8">
        <v>0</v>
      </c>
      <c r="K300" s="3">
        <v>1234.02</v>
      </c>
      <c r="L300" t="s">
        <v>19</v>
      </c>
      <c r="M300" t="s">
        <v>26</v>
      </c>
      <c r="N300" s="3">
        <f>Table1[[#This Row],[Quantity]]*Table1[[#This Row],[UnitPrice]]*(1-Table1[[#This Row],[Discount]])</f>
        <v>1234.02</v>
      </c>
    </row>
    <row r="301" spans="1:14" x14ac:dyDescent="0.35">
      <c r="A301" s="8">
        <v>1049</v>
      </c>
      <c r="B301" s="2">
        <v>46198</v>
      </c>
      <c r="C301" t="s">
        <v>14</v>
      </c>
      <c r="D301" t="s">
        <v>28</v>
      </c>
      <c r="E301" t="s">
        <v>59</v>
      </c>
      <c r="F301" t="s">
        <v>24</v>
      </c>
      <c r="G301" t="s">
        <v>63</v>
      </c>
      <c r="H301">
        <v>6</v>
      </c>
      <c r="I301" s="8">
        <v>447.58</v>
      </c>
      <c r="J301" s="8">
        <v>0.15</v>
      </c>
      <c r="K301" s="3">
        <v>2282.66</v>
      </c>
      <c r="L301" t="s">
        <v>19</v>
      </c>
      <c r="M301" t="s">
        <v>36</v>
      </c>
      <c r="N301" s="3">
        <f>Table1[[#This Row],[Quantity]]*Table1[[#This Row],[UnitPrice]]*(1-Table1[[#This Row],[Discount]])</f>
        <v>2282.6579999999999</v>
      </c>
    </row>
  </sheetData>
  <conditionalFormatting sqref="A1:A1048576">
    <cfRule type="duplicateValues" dxfId="10" priority="1"/>
  </conditionalFormatting>
  <conditionalFormatting sqref="D1:D1048576">
    <cfRule type="dataBar" priority="2">
      <dataBar>
        <cfvo type="min"/>
        <cfvo type="max"/>
        <color rgb="FF638EC6"/>
      </dataBar>
    </cfRule>
  </conditionalFormatting>
  <conditionalFormatting sqref="M1">
    <cfRule type="containsText" dxfId="9" priority="5" operator="containsText" text="Pending">
      <formula>NOT(ISERROR(SEARCH("Pending",M1)))</formula>
    </cfRule>
  </conditionalFormatting>
  <conditionalFormatting sqref="M1:M1048576">
    <cfRule type="containsText" dxfId="8" priority="3" operator="containsText" text="Pending">
      <formula>NOT(ISERROR(SEARCH("Pending",M1)))</formula>
    </cfRule>
    <cfRule type="containsText" dxfId="7" priority="4" operator="containsText" text="Pending">
      <formula>NOT(ISERROR(SEARCH("Pending",M1)))</formula>
    </cfRule>
  </conditionalFormatting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302"/>
  <sheetViews>
    <sheetView topLeftCell="I1" zoomScale="97" zoomScaleNormal="100" workbookViewId="0">
      <selection activeCell="J16" sqref="J16"/>
    </sheetView>
  </sheetViews>
  <sheetFormatPr defaultRowHeight="14.5" x14ac:dyDescent="0.35"/>
  <cols>
    <col min="2" max="2" width="13.7265625" style="10" customWidth="1"/>
    <col min="4" max="4" width="14.36328125" style="10" customWidth="1"/>
    <col min="5" max="5" width="14.90625" style="10" customWidth="1"/>
    <col min="6" max="6" width="16.1796875" style="10" customWidth="1"/>
    <col min="7" max="7" width="13.1796875" style="10" customWidth="1"/>
    <col min="9" max="9" width="12" style="10" customWidth="1"/>
    <col min="11" max="11" width="15.90625" style="13" customWidth="1"/>
    <col min="13" max="13" width="13.36328125" style="10" customWidth="1"/>
    <col min="14" max="14" width="17.453125" style="13" customWidth="1"/>
    <col min="16" max="16" width="13.7265625" style="10" customWidth="1"/>
    <col min="19" max="19" width="10.08984375" style="10" customWidth="1"/>
    <col min="20" max="20" width="15.453125" style="13" customWidth="1"/>
    <col min="21" max="21" width="15.81640625" style="10" customWidth="1"/>
    <col min="22" max="22" width="17.1796875" style="10" customWidth="1"/>
  </cols>
  <sheetData>
    <row r="1" spans="1:22" ht="29" customHeight="1" x14ac:dyDescent="0.35">
      <c r="A1" s="21" t="s">
        <v>0</v>
      </c>
      <c r="B1" s="22" t="s">
        <v>1</v>
      </c>
      <c r="C1" s="23" t="s">
        <v>2</v>
      </c>
      <c r="D1" s="23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5" t="s">
        <v>10</v>
      </c>
      <c r="L1" s="24" t="s">
        <v>11</v>
      </c>
      <c r="M1" s="24" t="s">
        <v>12</v>
      </c>
      <c r="N1" s="25" t="s">
        <v>13</v>
      </c>
      <c r="O1" s="23" t="s">
        <v>172</v>
      </c>
      <c r="P1" s="23" t="s">
        <v>173</v>
      </c>
      <c r="Q1" s="23" t="s">
        <v>143</v>
      </c>
      <c r="R1" s="23" t="s">
        <v>174</v>
      </c>
      <c r="S1" s="23" t="s">
        <v>175</v>
      </c>
      <c r="T1" s="26" t="s">
        <v>176</v>
      </c>
      <c r="U1" s="23" t="s">
        <v>177</v>
      </c>
      <c r="V1" s="23" t="s">
        <v>178</v>
      </c>
    </row>
    <row r="2" spans="1:22" x14ac:dyDescent="0.35">
      <c r="A2" s="8">
        <v>1044</v>
      </c>
      <c r="B2" s="2">
        <v>45658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s="8">
        <v>9</v>
      </c>
      <c r="I2" s="8">
        <v>335.89</v>
      </c>
      <c r="J2" s="8">
        <v>0</v>
      </c>
      <c r="K2" s="14">
        <v>3023.01</v>
      </c>
      <c r="L2" t="s">
        <v>19</v>
      </c>
      <c r="M2" t="s">
        <v>20</v>
      </c>
      <c r="N2" s="14">
        <f>Table14[[#This Row],[Quantity]]*Table14[[#This Row],[UnitPrice]]*(1-Table14[[#This Row],[Discount]])</f>
        <v>3023.0099999999998</v>
      </c>
      <c r="O2" s="8">
        <f>YEAR(Table14[[#This Row],[OrderDate]])</f>
        <v>2025</v>
      </c>
      <c r="P2" s="8" t="str">
        <f>TEXT(Table14[[#This Row],[OrderDate]],"mmmm")</f>
        <v>January</v>
      </c>
      <c r="Q2" s="8" t="str">
        <f t="shared" ref="Q2:Q65" si="0">"Q"&amp;ROUNDUP(MONTH(B2)/3,0)</f>
        <v>Q1</v>
      </c>
      <c r="R2" s="3">
        <f>Table14[[#This Row],[Revenue]]*25%</f>
        <v>755.75250000000005</v>
      </c>
      <c r="S2" s="3">
        <f t="shared" ref="S2:S65" si="1">K2*18%</f>
        <v>544.14179999999999</v>
      </c>
      <c r="T2" s="14">
        <f t="shared" ref="T2:T65" si="2">K2-S2</f>
        <v>2478.8682000000003</v>
      </c>
      <c r="U2" s="3" t="str">
        <f t="array" ref="U2">_xlfn.IFS(Table14[[#This Row],[Revenue]]&gt;10000,"High",AND(Table14[[#This Row],[Revenue]]&gt;=5000,Table14[[#This Row],[Revenue]]&lt;=10000),"Medium",Table14[[#This Row],[Revenue]]&lt;5000,"Low")</f>
        <v>Low</v>
      </c>
      <c r="V2" s="3">
        <v>4336.2769330000001</v>
      </c>
    </row>
    <row r="3" spans="1:22" x14ac:dyDescent="0.35">
      <c r="A3" s="8">
        <v>1276</v>
      </c>
      <c r="B3" s="2">
        <v>45658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s="8">
        <v>4</v>
      </c>
      <c r="I3" s="8">
        <v>674.92</v>
      </c>
      <c r="J3" s="8">
        <v>0</v>
      </c>
      <c r="K3" s="14">
        <v>2699.68</v>
      </c>
      <c r="L3" t="s">
        <v>19</v>
      </c>
      <c r="M3" t="s">
        <v>26</v>
      </c>
      <c r="N3" s="14">
        <f>Table14[[#This Row],[Quantity]]*Table14[[#This Row],[UnitPrice]]*(1-Table14[[#This Row],[Discount]])</f>
        <v>2699.68</v>
      </c>
      <c r="O3" s="8">
        <f>YEAR(Table14[[#This Row],[OrderDate]])</f>
        <v>2025</v>
      </c>
      <c r="P3" s="8" t="str">
        <f>TEXT(Table14[[#This Row],[OrderDate]],"mmmm")</f>
        <v>January</v>
      </c>
      <c r="Q3" s="8" t="str">
        <f t="shared" si="0"/>
        <v>Q1</v>
      </c>
      <c r="R3" s="3">
        <f>Table14[[#This Row],[Revenue]]*25%</f>
        <v>674.92</v>
      </c>
      <c r="S3" s="3">
        <f t="shared" si="1"/>
        <v>485.94239999999996</v>
      </c>
      <c r="T3" s="14">
        <f t="shared" si="2"/>
        <v>2213.7375999999999</v>
      </c>
      <c r="U3" s="3" t="str">
        <f t="array" ref="U3">_xlfn.IFS(Table14[[#This Row],[Revenue]]&gt;10000,"High",AND(Table14[[#This Row],[Revenue]]&gt;=5000,Table14[[#This Row],[Revenue]]&lt;=10000),"Medium",Table14[[#This Row],[Revenue]]&lt;5000,"Low")</f>
        <v>Low</v>
      </c>
      <c r="V3" s="3"/>
    </row>
    <row r="4" spans="1:22" x14ac:dyDescent="0.35">
      <c r="A4" s="8">
        <v>1210</v>
      </c>
      <c r="B4" s="2">
        <v>45663</v>
      </c>
      <c r="C4" t="s">
        <v>27</v>
      </c>
      <c r="D4" t="s">
        <v>28</v>
      </c>
      <c r="E4" t="s">
        <v>29</v>
      </c>
      <c r="F4" t="s">
        <v>17</v>
      </c>
      <c r="G4" t="s">
        <v>30</v>
      </c>
      <c r="H4" s="8">
        <v>13</v>
      </c>
      <c r="I4" s="8">
        <v>519.66</v>
      </c>
      <c r="J4" s="8">
        <v>0.15</v>
      </c>
      <c r="K4" s="14">
        <v>5742.24</v>
      </c>
      <c r="L4" t="s">
        <v>19</v>
      </c>
      <c r="M4" t="s">
        <v>26</v>
      </c>
      <c r="N4" s="14">
        <f>Table14[[#This Row],[Quantity]]*Table14[[#This Row],[UnitPrice]]*(1-Table14[[#This Row],[Discount]])</f>
        <v>5742.2429999999995</v>
      </c>
      <c r="O4" s="8">
        <f>YEAR(Table14[[#This Row],[OrderDate]])</f>
        <v>2025</v>
      </c>
      <c r="P4" s="8" t="str">
        <f>TEXT(Table14[[#This Row],[OrderDate]],"mmmm")</f>
        <v>January</v>
      </c>
      <c r="Q4" s="8" t="str">
        <f t="shared" si="0"/>
        <v>Q1</v>
      </c>
      <c r="R4" s="3">
        <f>Table14[[#This Row],[Revenue]]*25%</f>
        <v>1435.56</v>
      </c>
      <c r="S4" s="3">
        <f t="shared" si="1"/>
        <v>1033.6032</v>
      </c>
      <c r="T4" s="14">
        <f t="shared" si="2"/>
        <v>4708.6368000000002</v>
      </c>
      <c r="U4" s="3" t="str">
        <f t="array" ref="U4">_xlfn.IFS(Table14[[#This Row],[Revenue]]&gt;10000,"High",AND(Table14[[#This Row],[Revenue]]&gt;=5000,Table14[[#This Row],[Revenue]]&lt;=10000),"Medium",Table14[[#This Row],[Revenue]]&lt;5000,"Low")</f>
        <v>Medium</v>
      </c>
      <c r="V4" s="3"/>
    </row>
    <row r="5" spans="1:22" x14ac:dyDescent="0.35">
      <c r="A5" s="8">
        <v>1071</v>
      </c>
      <c r="B5" s="2">
        <v>45669</v>
      </c>
      <c r="C5" t="s">
        <v>14</v>
      </c>
      <c r="D5" t="s">
        <v>31</v>
      </c>
      <c r="E5" t="s">
        <v>32</v>
      </c>
      <c r="F5" t="s">
        <v>33</v>
      </c>
      <c r="G5" t="s">
        <v>34</v>
      </c>
      <c r="H5" s="8">
        <v>8</v>
      </c>
      <c r="I5" s="8">
        <v>1086.6600000000001</v>
      </c>
      <c r="J5" s="8">
        <v>0.15</v>
      </c>
      <c r="K5" s="14">
        <v>7389.29</v>
      </c>
      <c r="L5" t="s">
        <v>35</v>
      </c>
      <c r="M5" t="s">
        <v>36</v>
      </c>
      <c r="N5" s="14">
        <f>Table14[[#This Row],[Quantity]]*Table14[[#This Row],[UnitPrice]]*(1-Table14[[#This Row],[Discount]])</f>
        <v>7389.2880000000005</v>
      </c>
      <c r="O5" s="8">
        <f>YEAR(Table14[[#This Row],[OrderDate]])</f>
        <v>2025</v>
      </c>
      <c r="P5" s="8" t="str">
        <f>TEXT(Table14[[#This Row],[OrderDate]],"mmmm")</f>
        <v>January</v>
      </c>
      <c r="Q5" s="8" t="str">
        <f t="shared" si="0"/>
        <v>Q1</v>
      </c>
      <c r="R5" s="3">
        <f>Table14[[#This Row],[Revenue]]*25%</f>
        <v>1847.3225</v>
      </c>
      <c r="S5" s="3">
        <f t="shared" si="1"/>
        <v>1330.0721999999998</v>
      </c>
      <c r="T5" s="14">
        <f t="shared" si="2"/>
        <v>6059.2178000000004</v>
      </c>
      <c r="U5" s="3" t="str">
        <f t="array" ref="U5">_xlfn.IFS(Table14[[#This Row],[Revenue]]&gt;10000,"High",AND(Table14[[#This Row],[Revenue]]&gt;=5000,Table14[[#This Row],[Revenue]]&lt;=10000),"Medium",Table14[[#This Row],[Revenue]]&lt;5000,"Low")</f>
        <v>Medium</v>
      </c>
      <c r="V5" s="3"/>
    </row>
    <row r="6" spans="1:22" x14ac:dyDescent="0.35">
      <c r="A6" s="8">
        <v>1026</v>
      </c>
      <c r="B6" s="2">
        <v>45670</v>
      </c>
      <c r="C6" t="s">
        <v>27</v>
      </c>
      <c r="D6" t="s">
        <v>22</v>
      </c>
      <c r="E6" t="s">
        <v>37</v>
      </c>
      <c r="F6" t="s">
        <v>24</v>
      </c>
      <c r="G6" t="s">
        <v>38</v>
      </c>
      <c r="H6" s="8">
        <v>14</v>
      </c>
      <c r="I6" s="8">
        <v>40.020000000000003</v>
      </c>
      <c r="J6" s="8">
        <v>0.15</v>
      </c>
      <c r="K6" s="14">
        <v>476.24</v>
      </c>
      <c r="L6" t="s">
        <v>39</v>
      </c>
      <c r="M6" t="s">
        <v>36</v>
      </c>
      <c r="N6" s="14">
        <f>Table14[[#This Row],[Quantity]]*Table14[[#This Row],[UnitPrice]]*(1-Table14[[#This Row],[Discount]])</f>
        <v>476.23800000000006</v>
      </c>
      <c r="O6" s="8">
        <f>YEAR(Table14[[#This Row],[OrderDate]])</f>
        <v>2025</v>
      </c>
      <c r="P6" s="8" t="str">
        <f>TEXT(Table14[[#This Row],[OrderDate]],"mmmm")</f>
        <v>January</v>
      </c>
      <c r="Q6" s="8" t="str">
        <f t="shared" si="0"/>
        <v>Q1</v>
      </c>
      <c r="R6" s="3">
        <f>Table14[[#This Row],[Revenue]]*25%</f>
        <v>119.06</v>
      </c>
      <c r="S6" s="3">
        <f t="shared" si="1"/>
        <v>85.723199999999991</v>
      </c>
      <c r="T6" s="14">
        <f t="shared" si="2"/>
        <v>390.51679999999999</v>
      </c>
      <c r="U6" s="3" t="str">
        <f t="array" ref="U6">_xlfn.IFS(Table14[[#This Row],[Revenue]]&gt;10000,"High",AND(Table14[[#This Row],[Revenue]]&gt;=5000,Table14[[#This Row],[Revenue]]&lt;=10000),"Medium",Table14[[#This Row],[Revenue]]&lt;5000,"Low")</f>
        <v>Low</v>
      </c>
      <c r="V6" s="3"/>
    </row>
    <row r="7" spans="1:22" x14ac:dyDescent="0.35">
      <c r="A7" s="8">
        <v>1222</v>
      </c>
      <c r="B7" s="2">
        <v>45672</v>
      </c>
      <c r="C7" t="s">
        <v>14</v>
      </c>
      <c r="D7" t="s">
        <v>31</v>
      </c>
      <c r="E7" t="s">
        <v>40</v>
      </c>
      <c r="F7" t="s">
        <v>17</v>
      </c>
      <c r="G7" t="s">
        <v>18</v>
      </c>
      <c r="H7" s="8">
        <v>9</v>
      </c>
      <c r="I7" s="8">
        <v>148.43</v>
      </c>
      <c r="J7" s="8">
        <v>0</v>
      </c>
      <c r="K7" s="14">
        <v>1335.87</v>
      </c>
      <c r="L7" t="s">
        <v>35</v>
      </c>
      <c r="M7" t="s">
        <v>36</v>
      </c>
      <c r="N7" s="14">
        <f>Table14[[#This Row],[Quantity]]*Table14[[#This Row],[UnitPrice]]*(1-Table14[[#This Row],[Discount]])</f>
        <v>1335.8700000000001</v>
      </c>
      <c r="O7" s="8">
        <f>YEAR(Table14[[#This Row],[OrderDate]])</f>
        <v>2025</v>
      </c>
      <c r="P7" s="8" t="str">
        <f>TEXT(Table14[[#This Row],[OrderDate]],"mmmm")</f>
        <v>January</v>
      </c>
      <c r="Q7" s="8" t="str">
        <f t="shared" si="0"/>
        <v>Q1</v>
      </c>
      <c r="R7" s="3">
        <f>Table14[[#This Row],[Revenue]]*25%</f>
        <v>333.96749999999997</v>
      </c>
      <c r="S7" s="3">
        <f t="shared" si="1"/>
        <v>240.45659999999998</v>
      </c>
      <c r="T7" s="14">
        <f t="shared" si="2"/>
        <v>1095.4133999999999</v>
      </c>
      <c r="U7" s="3" t="str">
        <f t="array" ref="U7">_xlfn.IFS(Table14[[#This Row],[Revenue]]&gt;10000,"High",AND(Table14[[#This Row],[Revenue]]&gt;=5000,Table14[[#This Row],[Revenue]]&lt;=10000),"Medium",Table14[[#This Row],[Revenue]]&lt;5000,"Low")</f>
        <v>Low</v>
      </c>
      <c r="V7" s="3"/>
    </row>
    <row r="8" spans="1:22" x14ac:dyDescent="0.35">
      <c r="A8" s="8">
        <v>1147</v>
      </c>
      <c r="B8" s="2">
        <v>45673</v>
      </c>
      <c r="C8" t="s">
        <v>27</v>
      </c>
      <c r="D8" t="s">
        <v>28</v>
      </c>
      <c r="E8" t="s">
        <v>41</v>
      </c>
      <c r="F8" t="s">
        <v>24</v>
      </c>
      <c r="G8" t="s">
        <v>38</v>
      </c>
      <c r="H8" s="8">
        <v>9</v>
      </c>
      <c r="I8" s="8">
        <v>96.87</v>
      </c>
      <c r="J8" s="8">
        <v>0.05</v>
      </c>
      <c r="K8" s="14">
        <v>828.24</v>
      </c>
      <c r="L8" t="s">
        <v>39</v>
      </c>
      <c r="M8" t="s">
        <v>36</v>
      </c>
      <c r="N8" s="14">
        <f>Table14[[#This Row],[Quantity]]*Table14[[#This Row],[UnitPrice]]*(1-Table14[[#This Row],[Discount]])</f>
        <v>828.23850000000004</v>
      </c>
      <c r="O8" s="8">
        <f>YEAR(Table14[[#This Row],[OrderDate]])</f>
        <v>2025</v>
      </c>
      <c r="P8" s="8" t="str">
        <f>TEXT(Table14[[#This Row],[OrderDate]],"mmmm")</f>
        <v>January</v>
      </c>
      <c r="Q8" s="8" t="str">
        <f t="shared" si="0"/>
        <v>Q1</v>
      </c>
      <c r="R8" s="3">
        <f>Table14[[#This Row],[Revenue]]*25%</f>
        <v>207.06</v>
      </c>
      <c r="S8" s="3">
        <f t="shared" si="1"/>
        <v>149.08320000000001</v>
      </c>
      <c r="T8" s="14">
        <f t="shared" si="2"/>
        <v>679.15679999999998</v>
      </c>
      <c r="U8" s="3" t="str">
        <f t="array" ref="U8">_xlfn.IFS(Table14[[#This Row],[Revenue]]&gt;10000,"High",AND(Table14[[#This Row],[Revenue]]&gt;=5000,Table14[[#This Row],[Revenue]]&lt;=10000),"Medium",Table14[[#This Row],[Revenue]]&lt;5000,"Low")</f>
        <v>Low</v>
      </c>
      <c r="V8" s="3"/>
    </row>
    <row r="9" spans="1:22" x14ac:dyDescent="0.35">
      <c r="A9" s="8">
        <v>1069</v>
      </c>
      <c r="B9" s="2">
        <v>45674</v>
      </c>
      <c r="C9" t="s">
        <v>14</v>
      </c>
      <c r="D9" t="s">
        <v>31</v>
      </c>
      <c r="E9" t="s">
        <v>42</v>
      </c>
      <c r="F9" t="s">
        <v>17</v>
      </c>
      <c r="G9" t="s">
        <v>18</v>
      </c>
      <c r="H9" s="8">
        <v>4</v>
      </c>
      <c r="I9" s="8">
        <v>644.44000000000005</v>
      </c>
      <c r="J9" s="8">
        <v>0.05</v>
      </c>
      <c r="K9" s="14">
        <v>2448.87</v>
      </c>
      <c r="L9" t="s">
        <v>19</v>
      </c>
      <c r="M9" t="s">
        <v>26</v>
      </c>
      <c r="N9" s="14">
        <f>Table14[[#This Row],[Quantity]]*Table14[[#This Row],[UnitPrice]]*(1-Table14[[#This Row],[Discount]])</f>
        <v>2448.8720000000003</v>
      </c>
      <c r="O9" s="8">
        <f>YEAR(Table14[[#This Row],[OrderDate]])</f>
        <v>2025</v>
      </c>
      <c r="P9" s="8" t="str">
        <f>TEXT(Table14[[#This Row],[OrderDate]],"mmmm")</f>
        <v>January</v>
      </c>
      <c r="Q9" s="8" t="str">
        <f t="shared" si="0"/>
        <v>Q1</v>
      </c>
      <c r="R9" s="3">
        <f>Table14[[#This Row],[Revenue]]*25%</f>
        <v>612.21749999999997</v>
      </c>
      <c r="S9" s="3">
        <f t="shared" si="1"/>
        <v>440.79659999999996</v>
      </c>
      <c r="T9" s="14">
        <f t="shared" si="2"/>
        <v>2008.0734</v>
      </c>
      <c r="U9" s="3" t="str">
        <f t="array" ref="U9">_xlfn.IFS(Table14[[#This Row],[Revenue]]&gt;10000,"High",AND(Table14[[#This Row],[Revenue]]&gt;=5000,Table14[[#This Row],[Revenue]]&lt;=10000),"Medium",Table14[[#This Row],[Revenue]]&lt;5000,"Low")</f>
        <v>Low</v>
      </c>
      <c r="V9" s="3"/>
    </row>
    <row r="10" spans="1:22" x14ac:dyDescent="0.35">
      <c r="A10" s="8">
        <v>1090</v>
      </c>
      <c r="B10" s="2">
        <v>45675</v>
      </c>
      <c r="C10" t="s">
        <v>43</v>
      </c>
      <c r="D10" t="s">
        <v>15</v>
      </c>
      <c r="E10" t="s">
        <v>44</v>
      </c>
      <c r="F10" t="s">
        <v>33</v>
      </c>
      <c r="G10" t="s">
        <v>34</v>
      </c>
      <c r="H10" s="8">
        <v>9</v>
      </c>
      <c r="I10" s="8">
        <v>113.96</v>
      </c>
      <c r="J10" s="8">
        <v>0.05</v>
      </c>
      <c r="K10" s="14">
        <v>974.36</v>
      </c>
      <c r="L10" t="s">
        <v>19</v>
      </c>
      <c r="M10" t="s">
        <v>36</v>
      </c>
      <c r="N10" s="14">
        <f>Table14[[#This Row],[Quantity]]*Table14[[#This Row],[UnitPrice]]*(1-Table14[[#This Row],[Discount]])</f>
        <v>974.35799999999983</v>
      </c>
      <c r="O10" s="8">
        <f>YEAR(Table14[[#This Row],[OrderDate]])</f>
        <v>2025</v>
      </c>
      <c r="P10" s="8" t="str">
        <f>TEXT(Table14[[#This Row],[OrderDate]],"mmmm")</f>
        <v>January</v>
      </c>
      <c r="Q10" s="8" t="str">
        <f t="shared" si="0"/>
        <v>Q1</v>
      </c>
      <c r="R10" s="3">
        <f>Table14[[#This Row],[Revenue]]*25%</f>
        <v>243.59</v>
      </c>
      <c r="S10" s="3">
        <f t="shared" si="1"/>
        <v>175.38479999999998</v>
      </c>
      <c r="T10" s="14">
        <f t="shared" si="2"/>
        <v>798.97520000000009</v>
      </c>
      <c r="U10" s="3" t="str">
        <f t="array" ref="U10">_xlfn.IFS(Table14[[#This Row],[Revenue]]&gt;10000,"High",AND(Table14[[#This Row],[Revenue]]&gt;=5000,Table14[[#This Row],[Revenue]]&lt;=10000),"Medium",Table14[[#This Row],[Revenue]]&lt;5000,"Low")</f>
        <v>Low</v>
      </c>
      <c r="V10" s="3"/>
    </row>
    <row r="11" spans="1:22" x14ac:dyDescent="0.35">
      <c r="A11" s="8">
        <v>1078</v>
      </c>
      <c r="B11" s="2">
        <v>45677</v>
      </c>
      <c r="C11" t="s">
        <v>14</v>
      </c>
      <c r="D11" t="s">
        <v>22</v>
      </c>
      <c r="E11" t="s">
        <v>45</v>
      </c>
      <c r="F11" t="s">
        <v>17</v>
      </c>
      <c r="G11" t="s">
        <v>46</v>
      </c>
      <c r="H11" s="8">
        <v>13</v>
      </c>
      <c r="I11" s="8">
        <v>56.99</v>
      </c>
      <c r="J11" s="8">
        <v>0.1</v>
      </c>
      <c r="K11" s="14">
        <v>666.78</v>
      </c>
      <c r="L11" t="s">
        <v>19</v>
      </c>
      <c r="M11" t="s">
        <v>26</v>
      </c>
      <c r="N11" s="14">
        <f>Table14[[#This Row],[Quantity]]*Table14[[#This Row],[UnitPrice]]*(1-Table14[[#This Row],[Discount]])</f>
        <v>666.78300000000002</v>
      </c>
      <c r="O11" s="8">
        <f>YEAR(Table14[[#This Row],[OrderDate]])</f>
        <v>2025</v>
      </c>
      <c r="P11" s="8" t="str">
        <f>TEXT(Table14[[#This Row],[OrderDate]],"mmmm")</f>
        <v>January</v>
      </c>
      <c r="Q11" s="8" t="str">
        <f t="shared" si="0"/>
        <v>Q1</v>
      </c>
      <c r="R11" s="3">
        <f>Table14[[#This Row],[Revenue]]*25%</f>
        <v>166.69499999999999</v>
      </c>
      <c r="S11" s="3">
        <f t="shared" si="1"/>
        <v>120.0204</v>
      </c>
      <c r="T11" s="14">
        <f t="shared" si="2"/>
        <v>546.75959999999998</v>
      </c>
      <c r="U11" s="3" t="str">
        <f t="array" ref="U11">_xlfn.IFS(Table14[[#This Row],[Revenue]]&gt;10000,"High",AND(Table14[[#This Row],[Revenue]]&gt;=5000,Table14[[#This Row],[Revenue]]&lt;=10000),"Medium",Table14[[#This Row],[Revenue]]&lt;5000,"Low")</f>
        <v>Low</v>
      </c>
      <c r="V11" s="3"/>
    </row>
    <row r="12" spans="1:22" x14ac:dyDescent="0.35">
      <c r="A12" s="8">
        <v>1143</v>
      </c>
      <c r="B12" s="2">
        <v>45677</v>
      </c>
      <c r="C12" t="s">
        <v>27</v>
      </c>
      <c r="D12" t="s">
        <v>47</v>
      </c>
      <c r="E12" t="s">
        <v>48</v>
      </c>
      <c r="F12" t="s">
        <v>24</v>
      </c>
      <c r="G12" t="s">
        <v>38</v>
      </c>
      <c r="H12" s="8">
        <v>6</v>
      </c>
      <c r="I12" s="8">
        <v>596.54</v>
      </c>
      <c r="J12" s="8">
        <v>0.15</v>
      </c>
      <c r="K12" s="14">
        <v>3042.35</v>
      </c>
      <c r="L12" t="s">
        <v>39</v>
      </c>
      <c r="M12" t="s">
        <v>26</v>
      </c>
      <c r="N12" s="14">
        <f>Table14[[#This Row],[Quantity]]*Table14[[#This Row],[UnitPrice]]*(1-Table14[[#This Row],[Discount]])</f>
        <v>3042.3539999999998</v>
      </c>
      <c r="O12" s="8">
        <f>YEAR(Table14[[#This Row],[OrderDate]])</f>
        <v>2025</v>
      </c>
      <c r="P12" s="8" t="str">
        <f>TEXT(Table14[[#This Row],[OrderDate]],"mmmm")</f>
        <v>January</v>
      </c>
      <c r="Q12" s="8" t="str">
        <f t="shared" si="0"/>
        <v>Q1</v>
      </c>
      <c r="R12" s="3">
        <f>Table14[[#This Row],[Revenue]]*25%</f>
        <v>760.58749999999998</v>
      </c>
      <c r="S12" s="3">
        <f t="shared" si="1"/>
        <v>547.62299999999993</v>
      </c>
      <c r="T12" s="14">
        <f t="shared" si="2"/>
        <v>2494.7269999999999</v>
      </c>
      <c r="U12" s="3" t="str">
        <f t="array" ref="U12">_xlfn.IFS(Table14[[#This Row],[Revenue]]&gt;10000,"High",AND(Table14[[#This Row],[Revenue]]&gt;=5000,Table14[[#This Row],[Revenue]]&lt;=10000),"Medium",Table14[[#This Row],[Revenue]]&lt;5000,"Low")</f>
        <v>Low</v>
      </c>
      <c r="V12" s="3"/>
    </row>
    <row r="13" spans="1:22" x14ac:dyDescent="0.35">
      <c r="A13" s="8">
        <v>1270</v>
      </c>
      <c r="B13" s="2">
        <v>45679</v>
      </c>
      <c r="C13" t="s">
        <v>27</v>
      </c>
      <c r="D13" t="s">
        <v>31</v>
      </c>
      <c r="E13" t="s">
        <v>49</v>
      </c>
      <c r="F13" t="s">
        <v>17</v>
      </c>
      <c r="G13" t="s">
        <v>30</v>
      </c>
      <c r="H13" s="8">
        <v>1</v>
      </c>
      <c r="I13" s="8">
        <v>1107.9100000000001</v>
      </c>
      <c r="J13" s="8">
        <v>0.15</v>
      </c>
      <c r="K13" s="14">
        <v>941.72</v>
      </c>
      <c r="L13" t="s">
        <v>35</v>
      </c>
      <c r="M13" t="s">
        <v>20</v>
      </c>
      <c r="N13" s="14">
        <f>Table14[[#This Row],[Quantity]]*Table14[[#This Row],[UnitPrice]]*(1-Table14[[#This Row],[Discount]])</f>
        <v>941.72350000000006</v>
      </c>
      <c r="O13" s="8">
        <f>YEAR(Table14[[#This Row],[OrderDate]])</f>
        <v>2025</v>
      </c>
      <c r="P13" s="8" t="str">
        <f>TEXT(Table14[[#This Row],[OrderDate]],"mmmm")</f>
        <v>January</v>
      </c>
      <c r="Q13" s="8" t="str">
        <f t="shared" si="0"/>
        <v>Q1</v>
      </c>
      <c r="R13" s="3">
        <f>Table14[[#This Row],[Revenue]]*25%</f>
        <v>235.43</v>
      </c>
      <c r="S13" s="3">
        <f t="shared" si="1"/>
        <v>169.50960000000001</v>
      </c>
      <c r="T13" s="14">
        <f t="shared" si="2"/>
        <v>772.21040000000005</v>
      </c>
      <c r="U13" s="3" t="str">
        <f t="array" ref="U13">_xlfn.IFS(Table14[[#This Row],[Revenue]]&gt;10000,"High",AND(Table14[[#This Row],[Revenue]]&gt;=5000,Table14[[#This Row],[Revenue]]&lt;=10000),"Medium",Table14[[#This Row],[Revenue]]&lt;5000,"Low")</f>
        <v>Low</v>
      </c>
      <c r="V13" s="3"/>
    </row>
    <row r="14" spans="1:22" x14ac:dyDescent="0.35">
      <c r="A14" s="8">
        <v>1160</v>
      </c>
      <c r="B14" s="2">
        <v>45680</v>
      </c>
      <c r="C14" t="s">
        <v>14</v>
      </c>
      <c r="D14" t="s">
        <v>22</v>
      </c>
      <c r="E14" t="s">
        <v>50</v>
      </c>
      <c r="F14" t="s">
        <v>33</v>
      </c>
      <c r="G14" t="s">
        <v>34</v>
      </c>
      <c r="H14" s="8">
        <v>4</v>
      </c>
      <c r="I14" s="8">
        <v>986.26</v>
      </c>
      <c r="J14" s="8">
        <v>0</v>
      </c>
      <c r="K14" s="14">
        <v>3945.04</v>
      </c>
      <c r="L14" t="s">
        <v>39</v>
      </c>
      <c r="M14" t="s">
        <v>26</v>
      </c>
      <c r="N14" s="14">
        <f>Table14[[#This Row],[Quantity]]*Table14[[#This Row],[UnitPrice]]*(1-Table14[[#This Row],[Discount]])</f>
        <v>3945.04</v>
      </c>
      <c r="O14" s="8">
        <f>YEAR(Table14[[#This Row],[OrderDate]])</f>
        <v>2025</v>
      </c>
      <c r="P14" s="8" t="str">
        <f>TEXT(Table14[[#This Row],[OrderDate]],"mmmm")</f>
        <v>January</v>
      </c>
      <c r="Q14" s="8" t="str">
        <f t="shared" si="0"/>
        <v>Q1</v>
      </c>
      <c r="R14" s="3">
        <f>Table14[[#This Row],[Revenue]]*25%</f>
        <v>986.26</v>
      </c>
      <c r="S14" s="3">
        <f t="shared" si="1"/>
        <v>710.10719999999992</v>
      </c>
      <c r="T14" s="14">
        <f t="shared" si="2"/>
        <v>3234.9328</v>
      </c>
      <c r="U14" s="3" t="str">
        <f t="array" ref="U14">_xlfn.IFS(Table14[[#This Row],[Revenue]]&gt;10000,"High",AND(Table14[[#This Row],[Revenue]]&gt;=5000,Table14[[#This Row],[Revenue]]&lt;=10000),"Medium",Table14[[#This Row],[Revenue]]&lt;5000,"Low")</f>
        <v>Low</v>
      </c>
      <c r="V14" s="3"/>
    </row>
    <row r="15" spans="1:22" x14ac:dyDescent="0.35">
      <c r="A15" s="8">
        <v>1051</v>
      </c>
      <c r="B15" s="2">
        <v>45683</v>
      </c>
      <c r="C15" t="s">
        <v>21</v>
      </c>
      <c r="D15" t="s">
        <v>31</v>
      </c>
      <c r="E15" t="s">
        <v>51</v>
      </c>
      <c r="F15" t="s">
        <v>17</v>
      </c>
      <c r="G15" t="s">
        <v>30</v>
      </c>
      <c r="H15" s="8">
        <v>5</v>
      </c>
      <c r="I15" s="8">
        <v>30.22</v>
      </c>
      <c r="J15" s="8">
        <v>0.1</v>
      </c>
      <c r="K15" s="14">
        <v>135.99</v>
      </c>
      <c r="L15" t="s">
        <v>35</v>
      </c>
      <c r="M15" t="s">
        <v>26</v>
      </c>
      <c r="N15" s="14">
        <f>Table14[[#This Row],[Quantity]]*Table14[[#This Row],[UnitPrice]]*(1-Table14[[#This Row],[Discount]])</f>
        <v>135.99</v>
      </c>
      <c r="O15" s="8">
        <f>YEAR(Table14[[#This Row],[OrderDate]])</f>
        <v>2025</v>
      </c>
      <c r="P15" s="8" t="str">
        <f>TEXT(Table14[[#This Row],[OrderDate]],"mmmm")</f>
        <v>January</v>
      </c>
      <c r="Q15" s="8" t="str">
        <f t="shared" si="0"/>
        <v>Q1</v>
      </c>
      <c r="R15" s="3">
        <f>Table14[[#This Row],[Revenue]]*25%</f>
        <v>33.997500000000002</v>
      </c>
      <c r="S15" s="3">
        <f t="shared" si="1"/>
        <v>24.478200000000001</v>
      </c>
      <c r="T15" s="14">
        <f t="shared" si="2"/>
        <v>111.51180000000001</v>
      </c>
      <c r="U15" s="3" t="str">
        <f t="array" ref="U15">_xlfn.IFS(Table14[[#This Row],[Revenue]]&gt;10000,"High",AND(Table14[[#This Row],[Revenue]]&gt;=5000,Table14[[#This Row],[Revenue]]&lt;=10000),"Medium",Table14[[#This Row],[Revenue]]&lt;5000,"Low")</f>
        <v>Low</v>
      </c>
      <c r="V15" s="3"/>
    </row>
    <row r="16" spans="1:22" x14ac:dyDescent="0.35">
      <c r="A16" s="8">
        <v>1221</v>
      </c>
      <c r="B16" s="2">
        <v>45684</v>
      </c>
      <c r="C16" t="s">
        <v>21</v>
      </c>
      <c r="D16" t="s">
        <v>22</v>
      </c>
      <c r="E16" t="s">
        <v>52</v>
      </c>
      <c r="F16" t="s">
        <v>33</v>
      </c>
      <c r="G16" t="s">
        <v>53</v>
      </c>
      <c r="H16" s="8">
        <v>9</v>
      </c>
      <c r="I16" s="8">
        <v>594.99</v>
      </c>
      <c r="J16" s="8">
        <v>0.1</v>
      </c>
      <c r="K16" s="14">
        <v>4819.42</v>
      </c>
      <c r="L16" t="s">
        <v>39</v>
      </c>
      <c r="M16" t="s">
        <v>26</v>
      </c>
      <c r="N16" s="14">
        <f>Table14[[#This Row],[Quantity]]*Table14[[#This Row],[UnitPrice]]*(1-Table14[[#This Row],[Discount]])</f>
        <v>4819.4189999999999</v>
      </c>
      <c r="O16" s="8">
        <f>YEAR(Table14[[#This Row],[OrderDate]])</f>
        <v>2025</v>
      </c>
      <c r="P16" s="8" t="str">
        <f>TEXT(Table14[[#This Row],[OrderDate]],"mmmm")</f>
        <v>January</v>
      </c>
      <c r="Q16" s="8" t="str">
        <f t="shared" si="0"/>
        <v>Q1</v>
      </c>
      <c r="R16" s="3">
        <f>Table14[[#This Row],[Revenue]]*25%</f>
        <v>1204.855</v>
      </c>
      <c r="S16" s="3">
        <f t="shared" si="1"/>
        <v>867.49559999999997</v>
      </c>
      <c r="T16" s="14">
        <f t="shared" si="2"/>
        <v>3951.9243999999999</v>
      </c>
      <c r="U16" s="3" t="str">
        <f t="array" ref="U16">_xlfn.IFS(Table14[[#This Row],[Revenue]]&gt;10000,"High",AND(Table14[[#This Row],[Revenue]]&gt;=5000,Table14[[#This Row],[Revenue]]&lt;=10000),"Medium",Table14[[#This Row],[Revenue]]&lt;5000,"Low")</f>
        <v>Low</v>
      </c>
      <c r="V16" s="3"/>
    </row>
    <row r="17" spans="1:22" x14ac:dyDescent="0.35">
      <c r="A17" s="8">
        <v>1274</v>
      </c>
      <c r="B17" s="2">
        <v>45688</v>
      </c>
      <c r="C17" t="s">
        <v>43</v>
      </c>
      <c r="D17" t="s">
        <v>54</v>
      </c>
      <c r="E17" t="s">
        <v>55</v>
      </c>
      <c r="F17" t="s">
        <v>17</v>
      </c>
      <c r="G17" t="s">
        <v>46</v>
      </c>
      <c r="H17" s="8">
        <v>2</v>
      </c>
      <c r="I17" s="8">
        <v>136.44999999999999</v>
      </c>
      <c r="J17" s="8">
        <v>0.05</v>
      </c>
      <c r="K17" s="14">
        <v>259.25</v>
      </c>
      <c r="L17" t="s">
        <v>19</v>
      </c>
      <c r="M17" t="s">
        <v>20</v>
      </c>
      <c r="N17" s="14">
        <f>Table14[[#This Row],[Quantity]]*Table14[[#This Row],[UnitPrice]]*(1-Table14[[#This Row],[Discount]])</f>
        <v>259.25499999999994</v>
      </c>
      <c r="O17" s="8">
        <f>YEAR(Table14[[#This Row],[OrderDate]])</f>
        <v>2025</v>
      </c>
      <c r="P17" s="8" t="str">
        <f>TEXT(Table14[[#This Row],[OrderDate]],"mmmm")</f>
        <v>January</v>
      </c>
      <c r="Q17" s="8" t="str">
        <f t="shared" si="0"/>
        <v>Q1</v>
      </c>
      <c r="R17" s="3">
        <f>Table14[[#This Row],[Revenue]]*25%</f>
        <v>64.8125</v>
      </c>
      <c r="S17" s="3">
        <f t="shared" si="1"/>
        <v>46.664999999999999</v>
      </c>
      <c r="T17" s="14">
        <f t="shared" si="2"/>
        <v>212.58500000000001</v>
      </c>
      <c r="U17" s="3" t="str">
        <f t="array" ref="U17">_xlfn.IFS(Table14[[#This Row],[Revenue]]&gt;10000,"High",AND(Table14[[#This Row],[Revenue]]&gt;=5000,Table14[[#This Row],[Revenue]]&lt;=10000),"Medium",Table14[[#This Row],[Revenue]]&lt;5000,"Low")</f>
        <v>Low</v>
      </c>
      <c r="V17" s="3"/>
    </row>
    <row r="18" spans="1:22" x14ac:dyDescent="0.35">
      <c r="A18" s="8">
        <v>1115</v>
      </c>
      <c r="B18" s="2">
        <v>45689</v>
      </c>
      <c r="C18" t="s">
        <v>43</v>
      </c>
      <c r="D18" t="s">
        <v>15</v>
      </c>
      <c r="E18" t="s">
        <v>56</v>
      </c>
      <c r="F18" t="s">
        <v>17</v>
      </c>
      <c r="G18" t="s">
        <v>46</v>
      </c>
      <c r="H18" s="8">
        <v>4</v>
      </c>
      <c r="I18" s="8">
        <v>871.29</v>
      </c>
      <c r="J18" s="8">
        <v>0</v>
      </c>
      <c r="K18" s="14">
        <v>3485.16</v>
      </c>
      <c r="L18" t="s">
        <v>35</v>
      </c>
      <c r="M18" t="s">
        <v>20</v>
      </c>
      <c r="N18" s="14">
        <f>Table14[[#This Row],[Quantity]]*Table14[[#This Row],[UnitPrice]]*(1-Table14[[#This Row],[Discount]])</f>
        <v>3485.16</v>
      </c>
      <c r="O18" s="8">
        <f>YEAR(Table14[[#This Row],[OrderDate]])</f>
        <v>2025</v>
      </c>
      <c r="P18" s="8" t="str">
        <f>TEXT(Table14[[#This Row],[OrderDate]],"mmmm")</f>
        <v>February</v>
      </c>
      <c r="Q18" s="8" t="str">
        <f t="shared" si="0"/>
        <v>Q1</v>
      </c>
      <c r="R18" s="3">
        <f>Table14[[#This Row],[Revenue]]*25%</f>
        <v>871.29</v>
      </c>
      <c r="S18" s="3">
        <f t="shared" si="1"/>
        <v>627.3288</v>
      </c>
      <c r="T18" s="14">
        <f t="shared" si="2"/>
        <v>2857.8311999999996</v>
      </c>
      <c r="U18" s="3" t="str">
        <f t="array" ref="U18">_xlfn.IFS(Table14[[#This Row],[Revenue]]&gt;10000,"High",AND(Table14[[#This Row],[Revenue]]&gt;=5000,Table14[[#This Row],[Revenue]]&lt;=10000),"Medium",Table14[[#This Row],[Revenue]]&lt;5000,"Low")</f>
        <v>Low</v>
      </c>
      <c r="V18" s="3"/>
    </row>
    <row r="19" spans="1:22" x14ac:dyDescent="0.35">
      <c r="A19" s="8">
        <v>1220</v>
      </c>
      <c r="B19" s="2">
        <v>45691</v>
      </c>
      <c r="C19" t="s">
        <v>14</v>
      </c>
      <c r="D19" t="s">
        <v>54</v>
      </c>
      <c r="E19" t="s">
        <v>57</v>
      </c>
      <c r="F19" t="s">
        <v>17</v>
      </c>
      <c r="G19" t="s">
        <v>46</v>
      </c>
      <c r="H19" s="8">
        <v>3</v>
      </c>
      <c r="I19" s="8">
        <v>551.41</v>
      </c>
      <c r="J19" s="8">
        <v>0.1</v>
      </c>
      <c r="K19" s="14">
        <v>1488.81</v>
      </c>
      <c r="L19" t="s">
        <v>19</v>
      </c>
      <c r="M19" t="s">
        <v>36</v>
      </c>
      <c r="N19" s="14">
        <f>Table14[[#This Row],[Quantity]]*Table14[[#This Row],[UnitPrice]]*(1-Table14[[#This Row],[Discount]])</f>
        <v>1488.807</v>
      </c>
      <c r="O19" s="8">
        <f>YEAR(Table14[[#This Row],[OrderDate]])</f>
        <v>2025</v>
      </c>
      <c r="P19" s="8" t="str">
        <f>TEXT(Table14[[#This Row],[OrderDate]],"mmmm")</f>
        <v>February</v>
      </c>
      <c r="Q19" s="8" t="str">
        <f t="shared" si="0"/>
        <v>Q1</v>
      </c>
      <c r="R19" s="3">
        <f>Table14[[#This Row],[Revenue]]*25%</f>
        <v>372.20249999999999</v>
      </c>
      <c r="S19" s="3">
        <f t="shared" si="1"/>
        <v>267.98579999999998</v>
      </c>
      <c r="T19" s="14">
        <f t="shared" si="2"/>
        <v>1220.8242</v>
      </c>
      <c r="U19" s="3" t="str">
        <f t="array" ref="U19">_xlfn.IFS(Table14[[#This Row],[Revenue]]&gt;10000,"High",AND(Table14[[#This Row],[Revenue]]&gt;=5000,Table14[[#This Row],[Revenue]]&lt;=10000),"Medium",Table14[[#This Row],[Revenue]]&lt;5000,"Low")</f>
        <v>Low</v>
      </c>
      <c r="V19" s="3"/>
    </row>
    <row r="20" spans="1:22" x14ac:dyDescent="0.35">
      <c r="A20" s="8">
        <v>1059</v>
      </c>
      <c r="B20" s="2">
        <v>45694</v>
      </c>
      <c r="C20" t="s">
        <v>14</v>
      </c>
      <c r="D20" t="s">
        <v>15</v>
      </c>
      <c r="E20" t="s">
        <v>58</v>
      </c>
      <c r="F20" t="s">
        <v>17</v>
      </c>
      <c r="G20" t="s">
        <v>18</v>
      </c>
      <c r="H20" s="8">
        <v>10</v>
      </c>
      <c r="I20" s="8">
        <v>951.95</v>
      </c>
      <c r="J20" s="8">
        <v>0</v>
      </c>
      <c r="K20" s="14">
        <v>9519.5</v>
      </c>
      <c r="L20" t="s">
        <v>19</v>
      </c>
      <c r="M20" t="s">
        <v>20</v>
      </c>
      <c r="N20" s="14">
        <f>Table14[[#This Row],[Quantity]]*Table14[[#This Row],[UnitPrice]]*(1-Table14[[#This Row],[Discount]])</f>
        <v>9519.5</v>
      </c>
      <c r="O20" s="8">
        <f>YEAR(Table14[[#This Row],[OrderDate]])</f>
        <v>2025</v>
      </c>
      <c r="P20" s="8" t="str">
        <f>TEXT(Table14[[#This Row],[OrderDate]],"mmmm")</f>
        <v>February</v>
      </c>
      <c r="Q20" s="8" t="str">
        <f t="shared" si="0"/>
        <v>Q1</v>
      </c>
      <c r="R20" s="3">
        <f>Table14[[#This Row],[Revenue]]*25%</f>
        <v>2379.875</v>
      </c>
      <c r="S20" s="3">
        <f t="shared" si="1"/>
        <v>1713.51</v>
      </c>
      <c r="T20" s="14">
        <f t="shared" si="2"/>
        <v>7805.99</v>
      </c>
      <c r="U20" s="3" t="str">
        <f t="array" ref="U20">_xlfn.IFS(Table14[[#This Row],[Revenue]]&gt;10000,"High",AND(Table14[[#This Row],[Revenue]]&gt;=5000,Table14[[#This Row],[Revenue]]&lt;=10000),"Medium",Table14[[#This Row],[Revenue]]&lt;5000,"Low")</f>
        <v>Medium</v>
      </c>
      <c r="V20" s="3"/>
    </row>
    <row r="21" spans="1:22" x14ac:dyDescent="0.35">
      <c r="A21" s="8">
        <v>1018</v>
      </c>
      <c r="B21" s="2">
        <v>45698</v>
      </c>
      <c r="C21" t="s">
        <v>14</v>
      </c>
      <c r="D21" t="s">
        <v>22</v>
      </c>
      <c r="E21" t="s">
        <v>59</v>
      </c>
      <c r="F21" t="s">
        <v>33</v>
      </c>
      <c r="G21" t="s">
        <v>53</v>
      </c>
      <c r="H21" s="8">
        <v>8</v>
      </c>
      <c r="I21" s="8">
        <v>823.28</v>
      </c>
      <c r="J21" s="8">
        <v>0.1</v>
      </c>
      <c r="K21" s="14">
        <v>5927.62</v>
      </c>
      <c r="L21" t="s">
        <v>35</v>
      </c>
      <c r="M21" t="s">
        <v>36</v>
      </c>
      <c r="N21" s="14">
        <f>Table14[[#This Row],[Quantity]]*Table14[[#This Row],[UnitPrice]]*(1-Table14[[#This Row],[Discount]])</f>
        <v>5927.616</v>
      </c>
      <c r="O21" s="8">
        <f>YEAR(Table14[[#This Row],[OrderDate]])</f>
        <v>2025</v>
      </c>
      <c r="P21" s="8" t="str">
        <f>TEXT(Table14[[#This Row],[OrderDate]],"mmmm")</f>
        <v>February</v>
      </c>
      <c r="Q21" s="8" t="str">
        <f t="shared" si="0"/>
        <v>Q1</v>
      </c>
      <c r="R21" s="3">
        <f>Table14[[#This Row],[Revenue]]*25%</f>
        <v>1481.905</v>
      </c>
      <c r="S21" s="3">
        <f t="shared" si="1"/>
        <v>1066.9715999999999</v>
      </c>
      <c r="T21" s="14">
        <f t="shared" si="2"/>
        <v>4860.6484</v>
      </c>
      <c r="U21" s="3" t="str">
        <f t="array" ref="U21">_xlfn.IFS(Table14[[#This Row],[Revenue]]&gt;10000,"High",AND(Table14[[#This Row],[Revenue]]&gt;=5000,Table14[[#This Row],[Revenue]]&lt;=10000),"Medium",Table14[[#This Row],[Revenue]]&lt;5000,"Low")</f>
        <v>Medium</v>
      </c>
      <c r="V21" s="3"/>
    </row>
    <row r="22" spans="1:22" x14ac:dyDescent="0.35">
      <c r="A22" s="8">
        <v>1177</v>
      </c>
      <c r="B22" s="2">
        <v>45701</v>
      </c>
      <c r="C22" t="s">
        <v>43</v>
      </c>
      <c r="D22" t="s">
        <v>31</v>
      </c>
      <c r="E22" t="s">
        <v>59</v>
      </c>
      <c r="F22" t="s">
        <v>33</v>
      </c>
      <c r="G22" t="s">
        <v>53</v>
      </c>
      <c r="H22" s="8">
        <v>15</v>
      </c>
      <c r="I22" s="8">
        <v>486.05</v>
      </c>
      <c r="J22" s="8">
        <v>0.05</v>
      </c>
      <c r="K22" s="14">
        <v>6926.21</v>
      </c>
      <c r="L22" t="s">
        <v>39</v>
      </c>
      <c r="M22" t="s">
        <v>36</v>
      </c>
      <c r="N22" s="14">
        <f>Table14[[#This Row],[Quantity]]*Table14[[#This Row],[UnitPrice]]*(1-Table14[[#This Row],[Discount]])</f>
        <v>6926.2124999999996</v>
      </c>
      <c r="O22" s="8">
        <f>YEAR(Table14[[#This Row],[OrderDate]])</f>
        <v>2025</v>
      </c>
      <c r="P22" s="8" t="str">
        <f>TEXT(Table14[[#This Row],[OrderDate]],"mmmm")</f>
        <v>February</v>
      </c>
      <c r="Q22" s="8" t="str">
        <f t="shared" si="0"/>
        <v>Q1</v>
      </c>
      <c r="R22" s="3">
        <f>Table14[[#This Row],[Revenue]]*25%</f>
        <v>1731.5525</v>
      </c>
      <c r="S22" s="3">
        <f t="shared" si="1"/>
        <v>1246.7177999999999</v>
      </c>
      <c r="T22" s="14">
        <f t="shared" si="2"/>
        <v>5679.4922000000006</v>
      </c>
      <c r="U22" s="3" t="str">
        <f t="array" ref="U22">_xlfn.IFS(Table14[[#This Row],[Revenue]]&gt;10000,"High",AND(Table14[[#This Row],[Revenue]]&gt;=5000,Table14[[#This Row],[Revenue]]&lt;=10000),"Medium",Table14[[#This Row],[Revenue]]&lt;5000,"Low")</f>
        <v>Medium</v>
      </c>
      <c r="V22" s="3"/>
    </row>
    <row r="23" spans="1:22" x14ac:dyDescent="0.35">
      <c r="A23" s="8">
        <v>1061</v>
      </c>
      <c r="B23" s="2">
        <v>45703</v>
      </c>
      <c r="C23" t="s">
        <v>14</v>
      </c>
      <c r="D23" t="s">
        <v>15</v>
      </c>
      <c r="E23" t="s">
        <v>60</v>
      </c>
      <c r="F23" t="s">
        <v>33</v>
      </c>
      <c r="G23" t="s">
        <v>61</v>
      </c>
      <c r="H23" s="8">
        <v>5</v>
      </c>
      <c r="I23" s="8">
        <v>769.03</v>
      </c>
      <c r="J23" s="8">
        <v>0.1</v>
      </c>
      <c r="K23" s="14">
        <v>3460.63</v>
      </c>
      <c r="L23" t="s">
        <v>35</v>
      </c>
      <c r="M23" t="s">
        <v>20</v>
      </c>
      <c r="N23" s="14">
        <f>Table14[[#This Row],[Quantity]]*Table14[[#This Row],[UnitPrice]]*(1-Table14[[#This Row],[Discount]])</f>
        <v>3460.6349999999998</v>
      </c>
      <c r="O23" s="8">
        <f>YEAR(Table14[[#This Row],[OrderDate]])</f>
        <v>2025</v>
      </c>
      <c r="P23" s="8" t="str">
        <f>TEXT(Table14[[#This Row],[OrderDate]],"mmmm")</f>
        <v>February</v>
      </c>
      <c r="Q23" s="8" t="str">
        <f t="shared" si="0"/>
        <v>Q1</v>
      </c>
      <c r="R23" s="3">
        <f>Table14[[#This Row],[Revenue]]*25%</f>
        <v>865.15750000000003</v>
      </c>
      <c r="S23" s="3">
        <f t="shared" si="1"/>
        <v>622.91340000000002</v>
      </c>
      <c r="T23" s="14">
        <f t="shared" si="2"/>
        <v>2837.7166000000002</v>
      </c>
      <c r="U23" s="3" t="str">
        <f t="array" ref="U23">_xlfn.IFS(Table14[[#This Row],[Revenue]]&gt;10000,"High",AND(Table14[[#This Row],[Revenue]]&gt;=5000,Table14[[#This Row],[Revenue]]&lt;=10000),"Medium",Table14[[#This Row],[Revenue]]&lt;5000,"Low")</f>
        <v>Low</v>
      </c>
      <c r="V23" s="3"/>
    </row>
    <row r="24" spans="1:22" x14ac:dyDescent="0.35">
      <c r="A24" s="8">
        <v>1170</v>
      </c>
      <c r="B24" s="2">
        <v>45703</v>
      </c>
      <c r="C24" t="s">
        <v>21</v>
      </c>
      <c r="D24" t="s">
        <v>54</v>
      </c>
      <c r="E24" t="s">
        <v>62</v>
      </c>
      <c r="F24" t="s">
        <v>24</v>
      </c>
      <c r="G24" t="s">
        <v>63</v>
      </c>
      <c r="H24" s="8">
        <v>3</v>
      </c>
      <c r="I24" s="8">
        <v>767.25</v>
      </c>
      <c r="J24" s="8">
        <v>0.15</v>
      </c>
      <c r="K24" s="14">
        <v>1956.49</v>
      </c>
      <c r="L24" t="s">
        <v>39</v>
      </c>
      <c r="M24" t="s">
        <v>20</v>
      </c>
      <c r="N24" s="14">
        <f>Table14[[#This Row],[Quantity]]*Table14[[#This Row],[UnitPrice]]*(1-Table14[[#This Row],[Discount]])</f>
        <v>1956.4875</v>
      </c>
      <c r="O24" s="8">
        <f>YEAR(Table14[[#This Row],[OrderDate]])</f>
        <v>2025</v>
      </c>
      <c r="P24" s="8" t="str">
        <f>TEXT(Table14[[#This Row],[OrderDate]],"mmmm")</f>
        <v>February</v>
      </c>
      <c r="Q24" s="8" t="str">
        <f t="shared" si="0"/>
        <v>Q1</v>
      </c>
      <c r="R24" s="3">
        <f>Table14[[#This Row],[Revenue]]*25%</f>
        <v>489.1225</v>
      </c>
      <c r="S24" s="3">
        <f t="shared" si="1"/>
        <v>352.16820000000001</v>
      </c>
      <c r="T24" s="14">
        <f t="shared" si="2"/>
        <v>1604.3217999999999</v>
      </c>
      <c r="U24" s="3" t="str">
        <f t="array" ref="U24">_xlfn.IFS(Table14[[#This Row],[Revenue]]&gt;10000,"High",AND(Table14[[#This Row],[Revenue]]&gt;=5000,Table14[[#This Row],[Revenue]]&lt;=10000),"Medium",Table14[[#This Row],[Revenue]]&lt;5000,"Low")</f>
        <v>Low</v>
      </c>
      <c r="V24" s="3"/>
    </row>
    <row r="25" spans="1:22" x14ac:dyDescent="0.35">
      <c r="A25" s="8">
        <v>1299</v>
      </c>
      <c r="B25" s="2">
        <v>45707</v>
      </c>
      <c r="C25" t="s">
        <v>27</v>
      </c>
      <c r="D25" t="s">
        <v>54</v>
      </c>
      <c r="E25" t="s">
        <v>60</v>
      </c>
      <c r="F25" t="s">
        <v>17</v>
      </c>
      <c r="G25" t="s">
        <v>46</v>
      </c>
      <c r="H25" s="8">
        <v>1</v>
      </c>
      <c r="I25" s="8">
        <v>127.11</v>
      </c>
      <c r="J25" s="8">
        <v>0.1</v>
      </c>
      <c r="K25" s="14">
        <v>114.4</v>
      </c>
      <c r="L25" t="s">
        <v>19</v>
      </c>
      <c r="M25" t="s">
        <v>26</v>
      </c>
      <c r="N25" s="14">
        <f>Table14[[#This Row],[Quantity]]*Table14[[#This Row],[UnitPrice]]*(1-Table14[[#This Row],[Discount]])</f>
        <v>114.399</v>
      </c>
      <c r="O25" s="8">
        <f>YEAR(Table14[[#This Row],[OrderDate]])</f>
        <v>2025</v>
      </c>
      <c r="P25" s="8" t="str">
        <f>TEXT(Table14[[#This Row],[OrderDate]],"mmmm")</f>
        <v>February</v>
      </c>
      <c r="Q25" s="8" t="str">
        <f t="shared" si="0"/>
        <v>Q1</v>
      </c>
      <c r="R25" s="3">
        <f>Table14[[#This Row],[Revenue]]*25%</f>
        <v>28.6</v>
      </c>
      <c r="S25" s="3">
        <f t="shared" si="1"/>
        <v>20.591999999999999</v>
      </c>
      <c r="T25" s="14">
        <f t="shared" si="2"/>
        <v>93.808000000000007</v>
      </c>
      <c r="U25" s="3" t="str">
        <f t="array" ref="U25">_xlfn.IFS(Table14[[#This Row],[Revenue]]&gt;10000,"High",AND(Table14[[#This Row],[Revenue]]&gt;=5000,Table14[[#This Row],[Revenue]]&lt;=10000),"Medium",Table14[[#This Row],[Revenue]]&lt;5000,"Low")</f>
        <v>Low</v>
      </c>
      <c r="V25" s="3"/>
    </row>
    <row r="26" spans="1:22" x14ac:dyDescent="0.35">
      <c r="A26" s="8">
        <v>1060</v>
      </c>
      <c r="B26" s="2">
        <v>45711</v>
      </c>
      <c r="C26" t="s">
        <v>21</v>
      </c>
      <c r="D26" t="s">
        <v>31</v>
      </c>
      <c r="E26" t="s">
        <v>64</v>
      </c>
      <c r="F26" t="s">
        <v>33</v>
      </c>
      <c r="G26" t="s">
        <v>34</v>
      </c>
      <c r="H26" s="8">
        <v>14</v>
      </c>
      <c r="I26" s="8">
        <v>763.63</v>
      </c>
      <c r="J26" s="8">
        <v>0</v>
      </c>
      <c r="K26" s="14">
        <v>10690.82</v>
      </c>
      <c r="L26" t="s">
        <v>35</v>
      </c>
      <c r="M26" t="s">
        <v>20</v>
      </c>
      <c r="N26" s="14">
        <f>Table14[[#This Row],[Quantity]]*Table14[[#This Row],[UnitPrice]]*(1-Table14[[#This Row],[Discount]])</f>
        <v>10690.82</v>
      </c>
      <c r="O26" s="8">
        <f>YEAR(Table14[[#This Row],[OrderDate]])</f>
        <v>2025</v>
      </c>
      <c r="P26" s="8" t="str">
        <f>TEXT(Table14[[#This Row],[OrderDate]],"mmmm")</f>
        <v>February</v>
      </c>
      <c r="Q26" s="8" t="str">
        <f t="shared" si="0"/>
        <v>Q1</v>
      </c>
      <c r="R26" s="3">
        <f>Table14[[#This Row],[Revenue]]*25%</f>
        <v>2672.7049999999999</v>
      </c>
      <c r="S26" s="3">
        <f t="shared" si="1"/>
        <v>1924.3475999999998</v>
      </c>
      <c r="T26" s="14">
        <f t="shared" si="2"/>
        <v>8766.4724000000006</v>
      </c>
      <c r="U26" s="3" t="str">
        <f t="array" ref="U26">_xlfn.IFS(Table14[[#This Row],[Revenue]]&gt;10000,"High",AND(Table14[[#This Row],[Revenue]]&gt;=5000,Table14[[#This Row],[Revenue]]&lt;=10000),"Medium",Table14[[#This Row],[Revenue]]&lt;5000,"Low")</f>
        <v>High</v>
      </c>
      <c r="V26" s="3"/>
    </row>
    <row r="27" spans="1:22" x14ac:dyDescent="0.35">
      <c r="A27" s="8">
        <v>1164</v>
      </c>
      <c r="B27" s="2">
        <v>45711</v>
      </c>
      <c r="C27" t="s">
        <v>21</v>
      </c>
      <c r="D27" t="s">
        <v>28</v>
      </c>
      <c r="E27" t="s">
        <v>65</v>
      </c>
      <c r="F27" t="s">
        <v>33</v>
      </c>
      <c r="G27" t="s">
        <v>34</v>
      </c>
      <c r="H27" s="8">
        <v>9</v>
      </c>
      <c r="I27" s="8">
        <v>724.93</v>
      </c>
      <c r="J27" s="8">
        <v>0.1</v>
      </c>
      <c r="K27" s="14">
        <v>5871.93</v>
      </c>
      <c r="L27" t="s">
        <v>19</v>
      </c>
      <c r="M27" t="s">
        <v>20</v>
      </c>
      <c r="N27" s="14">
        <f>Table14[[#This Row],[Quantity]]*Table14[[#This Row],[UnitPrice]]*(1-Table14[[#This Row],[Discount]])</f>
        <v>5871.933</v>
      </c>
      <c r="O27" s="8">
        <f>YEAR(Table14[[#This Row],[OrderDate]])</f>
        <v>2025</v>
      </c>
      <c r="P27" s="8" t="str">
        <f>TEXT(Table14[[#This Row],[OrderDate]],"mmmm")</f>
        <v>February</v>
      </c>
      <c r="Q27" s="8" t="str">
        <f t="shared" si="0"/>
        <v>Q1</v>
      </c>
      <c r="R27" s="3">
        <f>Table14[[#This Row],[Revenue]]*25%</f>
        <v>1467.9825000000001</v>
      </c>
      <c r="S27" s="3">
        <f t="shared" si="1"/>
        <v>1056.9474</v>
      </c>
      <c r="T27" s="14">
        <f t="shared" si="2"/>
        <v>4814.9826000000003</v>
      </c>
      <c r="U27" s="3" t="str">
        <f t="array" ref="U27">_xlfn.IFS(Table14[[#This Row],[Revenue]]&gt;10000,"High",AND(Table14[[#This Row],[Revenue]]&gt;=5000,Table14[[#This Row],[Revenue]]&lt;=10000),"Medium",Table14[[#This Row],[Revenue]]&lt;5000,"Low")</f>
        <v>Medium</v>
      </c>
      <c r="V27" s="3"/>
    </row>
    <row r="28" spans="1:22" x14ac:dyDescent="0.35">
      <c r="A28" s="8">
        <v>1286</v>
      </c>
      <c r="B28" s="2">
        <v>45711</v>
      </c>
      <c r="C28" t="s">
        <v>14</v>
      </c>
      <c r="D28" t="s">
        <v>54</v>
      </c>
      <c r="E28" t="s">
        <v>66</v>
      </c>
      <c r="F28" t="s">
        <v>17</v>
      </c>
      <c r="G28" t="s">
        <v>18</v>
      </c>
      <c r="H28" s="8">
        <v>7</v>
      </c>
      <c r="I28" s="8">
        <v>770.1</v>
      </c>
      <c r="J28" s="8">
        <v>0.15</v>
      </c>
      <c r="K28" s="14">
        <v>4582.09</v>
      </c>
      <c r="L28" t="s">
        <v>35</v>
      </c>
      <c r="M28" t="s">
        <v>26</v>
      </c>
      <c r="N28" s="14">
        <f>Table14[[#This Row],[Quantity]]*Table14[[#This Row],[UnitPrice]]*(1-Table14[[#This Row],[Discount]])</f>
        <v>4582.0949999999993</v>
      </c>
      <c r="O28" s="8">
        <f>YEAR(Table14[[#This Row],[OrderDate]])</f>
        <v>2025</v>
      </c>
      <c r="P28" s="8" t="str">
        <f>TEXT(Table14[[#This Row],[OrderDate]],"mmmm")</f>
        <v>February</v>
      </c>
      <c r="Q28" s="8" t="str">
        <f t="shared" si="0"/>
        <v>Q1</v>
      </c>
      <c r="R28" s="3">
        <f>Table14[[#This Row],[Revenue]]*25%</f>
        <v>1145.5225</v>
      </c>
      <c r="S28" s="3">
        <f t="shared" si="1"/>
        <v>824.77620000000002</v>
      </c>
      <c r="T28" s="14">
        <f t="shared" si="2"/>
        <v>3757.3137999999999</v>
      </c>
      <c r="U28" s="3" t="str">
        <f t="array" ref="U28">_xlfn.IFS(Table14[[#This Row],[Revenue]]&gt;10000,"High",AND(Table14[[#This Row],[Revenue]]&gt;=5000,Table14[[#This Row],[Revenue]]&lt;=10000),"Medium",Table14[[#This Row],[Revenue]]&lt;5000,"Low")</f>
        <v>Low</v>
      </c>
      <c r="V28" s="3"/>
    </row>
    <row r="29" spans="1:22" x14ac:dyDescent="0.35">
      <c r="A29" s="8">
        <v>1017</v>
      </c>
      <c r="B29" s="2">
        <v>45712</v>
      </c>
      <c r="C29" t="s">
        <v>43</v>
      </c>
      <c r="D29" t="s">
        <v>54</v>
      </c>
      <c r="E29" t="s">
        <v>67</v>
      </c>
      <c r="F29" t="s">
        <v>33</v>
      </c>
      <c r="G29" t="s">
        <v>34</v>
      </c>
      <c r="H29" s="8">
        <v>4</v>
      </c>
      <c r="I29" s="8">
        <v>432.55</v>
      </c>
      <c r="J29" s="8">
        <v>0</v>
      </c>
      <c r="K29" s="14">
        <v>1730.2</v>
      </c>
      <c r="L29" t="s">
        <v>19</v>
      </c>
      <c r="M29" t="s">
        <v>36</v>
      </c>
      <c r="N29" s="14">
        <f>Table14[[#This Row],[Quantity]]*Table14[[#This Row],[UnitPrice]]*(1-Table14[[#This Row],[Discount]])</f>
        <v>1730.2</v>
      </c>
      <c r="O29" s="8">
        <f>YEAR(Table14[[#This Row],[OrderDate]])</f>
        <v>2025</v>
      </c>
      <c r="P29" s="8" t="str">
        <f>TEXT(Table14[[#This Row],[OrderDate]],"mmmm")</f>
        <v>February</v>
      </c>
      <c r="Q29" s="8" t="str">
        <f t="shared" si="0"/>
        <v>Q1</v>
      </c>
      <c r="R29" s="3">
        <f>Table14[[#This Row],[Revenue]]*25%</f>
        <v>432.55</v>
      </c>
      <c r="S29" s="3">
        <f t="shared" si="1"/>
        <v>311.43599999999998</v>
      </c>
      <c r="T29" s="14">
        <f t="shared" si="2"/>
        <v>1418.7640000000001</v>
      </c>
      <c r="U29" s="3" t="str">
        <f t="array" ref="U29">_xlfn.IFS(Table14[[#This Row],[Revenue]]&gt;10000,"High",AND(Table14[[#This Row],[Revenue]]&gt;=5000,Table14[[#This Row],[Revenue]]&lt;=10000),"Medium",Table14[[#This Row],[Revenue]]&lt;5000,"Low")</f>
        <v>Low</v>
      </c>
      <c r="V29" s="3"/>
    </row>
    <row r="30" spans="1:22" x14ac:dyDescent="0.35">
      <c r="A30" s="8">
        <v>1113</v>
      </c>
      <c r="B30" s="2">
        <v>45713</v>
      </c>
      <c r="C30" t="s">
        <v>43</v>
      </c>
      <c r="D30" t="s">
        <v>47</v>
      </c>
      <c r="E30" t="s">
        <v>57</v>
      </c>
      <c r="F30" t="s">
        <v>17</v>
      </c>
      <c r="G30" t="s">
        <v>18</v>
      </c>
      <c r="H30" s="8">
        <v>15</v>
      </c>
      <c r="I30" s="8">
        <v>213.05</v>
      </c>
      <c r="J30" s="8">
        <v>0.1</v>
      </c>
      <c r="K30" s="14">
        <v>2876.18</v>
      </c>
      <c r="L30" t="s">
        <v>39</v>
      </c>
      <c r="M30" t="s">
        <v>36</v>
      </c>
      <c r="N30" s="14">
        <f>Table14[[#This Row],[Quantity]]*Table14[[#This Row],[UnitPrice]]*(1-Table14[[#This Row],[Discount]])</f>
        <v>2876.1750000000002</v>
      </c>
      <c r="O30" s="8">
        <f>YEAR(Table14[[#This Row],[OrderDate]])</f>
        <v>2025</v>
      </c>
      <c r="P30" s="8" t="str">
        <f>TEXT(Table14[[#This Row],[OrderDate]],"mmmm")</f>
        <v>February</v>
      </c>
      <c r="Q30" s="8" t="str">
        <f t="shared" si="0"/>
        <v>Q1</v>
      </c>
      <c r="R30" s="3">
        <f>Table14[[#This Row],[Revenue]]*25%</f>
        <v>719.04499999999996</v>
      </c>
      <c r="S30" s="3">
        <f t="shared" si="1"/>
        <v>517.7124</v>
      </c>
      <c r="T30" s="14">
        <f t="shared" si="2"/>
        <v>2358.4675999999999</v>
      </c>
      <c r="U30" s="3" t="str">
        <f t="array" ref="U30">_xlfn.IFS(Table14[[#This Row],[Revenue]]&gt;10000,"High",AND(Table14[[#This Row],[Revenue]]&gt;=5000,Table14[[#This Row],[Revenue]]&lt;=10000),"Medium",Table14[[#This Row],[Revenue]]&lt;5000,"Low")</f>
        <v>Low</v>
      </c>
      <c r="V30" s="3"/>
    </row>
    <row r="31" spans="1:22" x14ac:dyDescent="0.35">
      <c r="A31" s="8">
        <v>1154</v>
      </c>
      <c r="B31" s="2">
        <v>45714</v>
      </c>
      <c r="C31" t="s">
        <v>14</v>
      </c>
      <c r="D31" t="s">
        <v>28</v>
      </c>
      <c r="E31" t="s">
        <v>68</v>
      </c>
      <c r="F31" t="s">
        <v>33</v>
      </c>
      <c r="G31" t="s">
        <v>53</v>
      </c>
      <c r="H31" s="8">
        <v>6</v>
      </c>
      <c r="I31" s="8">
        <v>723.46</v>
      </c>
      <c r="J31" s="8">
        <v>0.1</v>
      </c>
      <c r="K31" s="14">
        <v>3906.68</v>
      </c>
      <c r="L31" t="s">
        <v>35</v>
      </c>
      <c r="M31" t="s">
        <v>26</v>
      </c>
      <c r="N31" s="14">
        <f>Table14[[#This Row],[Quantity]]*Table14[[#This Row],[UnitPrice]]*(1-Table14[[#This Row],[Discount]])</f>
        <v>3906.6840000000002</v>
      </c>
      <c r="O31" s="8">
        <f>YEAR(Table14[[#This Row],[OrderDate]])</f>
        <v>2025</v>
      </c>
      <c r="P31" s="8" t="str">
        <f>TEXT(Table14[[#This Row],[OrderDate]],"mmmm")</f>
        <v>February</v>
      </c>
      <c r="Q31" s="8" t="str">
        <f t="shared" si="0"/>
        <v>Q1</v>
      </c>
      <c r="R31" s="3">
        <f>Table14[[#This Row],[Revenue]]*25%</f>
        <v>976.67</v>
      </c>
      <c r="S31" s="3">
        <f t="shared" si="1"/>
        <v>703.2023999999999</v>
      </c>
      <c r="T31" s="14">
        <f t="shared" si="2"/>
        <v>3203.4776000000002</v>
      </c>
      <c r="U31" s="3" t="str">
        <f t="array" ref="U31">_xlfn.IFS(Table14[[#This Row],[Revenue]]&gt;10000,"High",AND(Table14[[#This Row],[Revenue]]&gt;=5000,Table14[[#This Row],[Revenue]]&lt;=10000),"Medium",Table14[[#This Row],[Revenue]]&lt;5000,"Low")</f>
        <v>Low</v>
      </c>
      <c r="V31" s="3"/>
    </row>
    <row r="32" spans="1:22" x14ac:dyDescent="0.35">
      <c r="A32" s="8">
        <v>1272</v>
      </c>
      <c r="B32" s="2">
        <v>45715</v>
      </c>
      <c r="C32" t="s">
        <v>14</v>
      </c>
      <c r="D32" t="s">
        <v>28</v>
      </c>
      <c r="E32" t="s">
        <v>69</v>
      </c>
      <c r="F32" t="s">
        <v>17</v>
      </c>
      <c r="G32" t="s">
        <v>18</v>
      </c>
      <c r="H32" s="8">
        <v>2</v>
      </c>
      <c r="I32" s="8">
        <v>711.63</v>
      </c>
      <c r="J32" s="8">
        <v>0.1</v>
      </c>
      <c r="K32" s="14">
        <v>1280.93</v>
      </c>
      <c r="L32" t="s">
        <v>35</v>
      </c>
      <c r="M32" t="s">
        <v>36</v>
      </c>
      <c r="N32" s="14">
        <f>Table14[[#This Row],[Quantity]]*Table14[[#This Row],[UnitPrice]]*(1-Table14[[#This Row],[Discount]])</f>
        <v>1280.934</v>
      </c>
      <c r="O32" s="8">
        <f>YEAR(Table14[[#This Row],[OrderDate]])</f>
        <v>2025</v>
      </c>
      <c r="P32" s="8" t="str">
        <f>TEXT(Table14[[#This Row],[OrderDate]],"mmmm")</f>
        <v>February</v>
      </c>
      <c r="Q32" s="8" t="str">
        <f t="shared" si="0"/>
        <v>Q1</v>
      </c>
      <c r="R32" s="3">
        <f>Table14[[#This Row],[Revenue]]*25%</f>
        <v>320.23250000000002</v>
      </c>
      <c r="S32" s="3">
        <f t="shared" si="1"/>
        <v>230.56739999999999</v>
      </c>
      <c r="T32" s="14">
        <f t="shared" si="2"/>
        <v>1050.3626000000002</v>
      </c>
      <c r="U32" s="3" t="str">
        <f t="array" ref="U32">_xlfn.IFS(Table14[[#This Row],[Revenue]]&gt;10000,"High",AND(Table14[[#This Row],[Revenue]]&gt;=5000,Table14[[#This Row],[Revenue]]&lt;=10000),"Medium",Table14[[#This Row],[Revenue]]&lt;5000,"Low")</f>
        <v>Low</v>
      </c>
      <c r="V32" s="3"/>
    </row>
    <row r="33" spans="1:22" x14ac:dyDescent="0.35">
      <c r="A33" s="8">
        <v>1116</v>
      </c>
      <c r="B33" s="2">
        <v>45718</v>
      </c>
      <c r="C33" t="s">
        <v>27</v>
      </c>
      <c r="D33" t="s">
        <v>47</v>
      </c>
      <c r="E33" t="s">
        <v>70</v>
      </c>
      <c r="F33" t="s">
        <v>33</v>
      </c>
      <c r="G33" t="s">
        <v>53</v>
      </c>
      <c r="H33" s="8">
        <v>12</v>
      </c>
      <c r="I33" s="8">
        <v>483.26</v>
      </c>
      <c r="J33" s="8">
        <v>0.15</v>
      </c>
      <c r="K33" s="14">
        <v>4929.25</v>
      </c>
      <c r="L33" t="s">
        <v>39</v>
      </c>
      <c r="M33" t="s">
        <v>36</v>
      </c>
      <c r="N33" s="14">
        <f>Table14[[#This Row],[Quantity]]*Table14[[#This Row],[UnitPrice]]*(1-Table14[[#This Row],[Discount]])</f>
        <v>4929.2519999999995</v>
      </c>
      <c r="O33" s="8">
        <f>YEAR(Table14[[#This Row],[OrderDate]])</f>
        <v>2025</v>
      </c>
      <c r="P33" s="8" t="str">
        <f>TEXT(Table14[[#This Row],[OrderDate]],"mmmm")</f>
        <v>March</v>
      </c>
      <c r="Q33" s="8" t="str">
        <f t="shared" si="0"/>
        <v>Q1</v>
      </c>
      <c r="R33" s="3">
        <f>Table14[[#This Row],[Revenue]]*25%</f>
        <v>1232.3125</v>
      </c>
      <c r="S33" s="3">
        <f t="shared" si="1"/>
        <v>887.26499999999999</v>
      </c>
      <c r="T33" s="14">
        <f t="shared" si="2"/>
        <v>4041.9850000000001</v>
      </c>
      <c r="U33" s="3" t="str">
        <f t="array" ref="U33">_xlfn.IFS(Table14[[#This Row],[Revenue]]&gt;10000,"High",AND(Table14[[#This Row],[Revenue]]&gt;=5000,Table14[[#This Row],[Revenue]]&lt;=10000),"Medium",Table14[[#This Row],[Revenue]]&lt;5000,"Low")</f>
        <v>Low</v>
      </c>
      <c r="V33" s="3"/>
    </row>
    <row r="34" spans="1:22" x14ac:dyDescent="0.35">
      <c r="A34" s="8">
        <v>1024</v>
      </c>
      <c r="B34" s="2">
        <v>45720</v>
      </c>
      <c r="C34" t="s">
        <v>27</v>
      </c>
      <c r="D34" t="s">
        <v>31</v>
      </c>
      <c r="E34" t="s">
        <v>71</v>
      </c>
      <c r="F34" t="s">
        <v>33</v>
      </c>
      <c r="G34" t="s">
        <v>53</v>
      </c>
      <c r="H34" s="8">
        <v>15</v>
      </c>
      <c r="I34" s="8">
        <v>310.61</v>
      </c>
      <c r="J34" s="8">
        <v>0</v>
      </c>
      <c r="K34" s="14">
        <v>4659.1499999999996</v>
      </c>
      <c r="L34" t="s">
        <v>39</v>
      </c>
      <c r="M34" t="s">
        <v>36</v>
      </c>
      <c r="N34" s="14">
        <f>Table14[[#This Row],[Quantity]]*Table14[[#This Row],[UnitPrice]]*(1-Table14[[#This Row],[Discount]])</f>
        <v>4659.1500000000005</v>
      </c>
      <c r="O34" s="8">
        <f>YEAR(Table14[[#This Row],[OrderDate]])</f>
        <v>2025</v>
      </c>
      <c r="P34" s="8" t="str">
        <f>TEXT(Table14[[#This Row],[OrderDate]],"mmmm")</f>
        <v>March</v>
      </c>
      <c r="Q34" s="8" t="str">
        <f t="shared" si="0"/>
        <v>Q1</v>
      </c>
      <c r="R34" s="3">
        <f>Table14[[#This Row],[Revenue]]*25%</f>
        <v>1164.7874999999999</v>
      </c>
      <c r="S34" s="3">
        <f t="shared" si="1"/>
        <v>838.64699999999993</v>
      </c>
      <c r="T34" s="14">
        <f t="shared" si="2"/>
        <v>3820.5029999999997</v>
      </c>
      <c r="U34" s="3" t="str">
        <f t="array" ref="U34">_xlfn.IFS(Table14[[#This Row],[Revenue]]&gt;10000,"High",AND(Table14[[#This Row],[Revenue]]&gt;=5000,Table14[[#This Row],[Revenue]]&lt;=10000),"Medium",Table14[[#This Row],[Revenue]]&lt;5000,"Low")</f>
        <v>Low</v>
      </c>
      <c r="V34" s="3"/>
    </row>
    <row r="35" spans="1:22" x14ac:dyDescent="0.35">
      <c r="A35" s="8">
        <v>1300</v>
      </c>
      <c r="B35" s="2">
        <v>45720</v>
      </c>
      <c r="C35" t="s">
        <v>21</v>
      </c>
      <c r="D35" t="s">
        <v>54</v>
      </c>
      <c r="E35" t="s">
        <v>72</v>
      </c>
      <c r="F35" t="s">
        <v>24</v>
      </c>
      <c r="G35" t="s">
        <v>25</v>
      </c>
      <c r="H35" s="8">
        <v>8</v>
      </c>
      <c r="I35" s="8">
        <v>435.43</v>
      </c>
      <c r="J35" s="8">
        <v>0.15</v>
      </c>
      <c r="K35" s="14">
        <v>2960.92</v>
      </c>
      <c r="L35" t="s">
        <v>19</v>
      </c>
      <c r="M35" t="s">
        <v>36</v>
      </c>
      <c r="N35" s="14">
        <f>Table14[[#This Row],[Quantity]]*Table14[[#This Row],[UnitPrice]]*(1-Table14[[#This Row],[Discount]])</f>
        <v>2960.924</v>
      </c>
      <c r="O35" s="8">
        <f>YEAR(Table14[[#This Row],[OrderDate]])</f>
        <v>2025</v>
      </c>
      <c r="P35" s="8" t="str">
        <f>TEXT(Table14[[#This Row],[OrderDate]],"mmmm")</f>
        <v>March</v>
      </c>
      <c r="Q35" s="8" t="str">
        <f t="shared" si="0"/>
        <v>Q1</v>
      </c>
      <c r="R35" s="3">
        <f>Table14[[#This Row],[Revenue]]*25%</f>
        <v>740.23</v>
      </c>
      <c r="S35" s="3">
        <f t="shared" si="1"/>
        <v>532.96559999999999</v>
      </c>
      <c r="T35" s="14">
        <f t="shared" si="2"/>
        <v>2427.9544000000001</v>
      </c>
      <c r="U35" s="3" t="str">
        <f t="array" ref="U35">_xlfn.IFS(Table14[[#This Row],[Revenue]]&gt;10000,"High",AND(Table14[[#This Row],[Revenue]]&gt;=5000,Table14[[#This Row],[Revenue]]&lt;=10000),"Medium",Table14[[#This Row],[Revenue]]&lt;5000,"Low")</f>
        <v>Low</v>
      </c>
      <c r="V35" s="3"/>
    </row>
    <row r="36" spans="1:22" x14ac:dyDescent="0.35">
      <c r="A36" s="8">
        <v>1292</v>
      </c>
      <c r="B36" s="2">
        <v>45722</v>
      </c>
      <c r="C36" t="s">
        <v>43</v>
      </c>
      <c r="D36" t="s">
        <v>54</v>
      </c>
      <c r="E36" t="s">
        <v>73</v>
      </c>
      <c r="F36" t="s">
        <v>33</v>
      </c>
      <c r="G36" t="s">
        <v>61</v>
      </c>
      <c r="H36" s="8">
        <v>13</v>
      </c>
      <c r="I36" s="8">
        <v>1047.26</v>
      </c>
      <c r="J36" s="8">
        <v>0.05</v>
      </c>
      <c r="K36" s="14">
        <v>12933.66</v>
      </c>
      <c r="L36" t="s">
        <v>39</v>
      </c>
      <c r="M36" t="s">
        <v>36</v>
      </c>
      <c r="N36" s="14">
        <f>Table14[[#This Row],[Quantity]]*Table14[[#This Row],[UnitPrice]]*(1-Table14[[#This Row],[Discount]])</f>
        <v>12933.660999999998</v>
      </c>
      <c r="O36" s="8">
        <f>YEAR(Table14[[#This Row],[OrderDate]])</f>
        <v>2025</v>
      </c>
      <c r="P36" s="8" t="str">
        <f>TEXT(Table14[[#This Row],[OrderDate]],"mmmm")</f>
        <v>March</v>
      </c>
      <c r="Q36" s="8" t="str">
        <f t="shared" si="0"/>
        <v>Q1</v>
      </c>
      <c r="R36" s="3">
        <f>Table14[[#This Row],[Revenue]]*25%</f>
        <v>3233.415</v>
      </c>
      <c r="S36" s="3">
        <f t="shared" si="1"/>
        <v>2328.0587999999998</v>
      </c>
      <c r="T36" s="14">
        <f t="shared" si="2"/>
        <v>10605.601200000001</v>
      </c>
      <c r="U36" s="3" t="str">
        <f t="array" ref="U36">_xlfn.IFS(Table14[[#This Row],[Revenue]]&gt;10000,"High",AND(Table14[[#This Row],[Revenue]]&gt;=5000,Table14[[#This Row],[Revenue]]&lt;=10000),"Medium",Table14[[#This Row],[Revenue]]&lt;5000,"Low")</f>
        <v>High</v>
      </c>
      <c r="V36" s="3"/>
    </row>
    <row r="37" spans="1:22" x14ac:dyDescent="0.35">
      <c r="A37" s="8">
        <v>1020</v>
      </c>
      <c r="B37" s="2">
        <v>45723</v>
      </c>
      <c r="C37" t="s">
        <v>43</v>
      </c>
      <c r="D37" t="s">
        <v>22</v>
      </c>
      <c r="E37" t="s">
        <v>60</v>
      </c>
      <c r="F37" t="s">
        <v>33</v>
      </c>
      <c r="G37" t="s">
        <v>53</v>
      </c>
      <c r="H37" s="8">
        <v>3</v>
      </c>
      <c r="I37" s="8">
        <v>128.86000000000001</v>
      </c>
      <c r="J37" s="8">
        <v>0.1</v>
      </c>
      <c r="K37" s="14">
        <v>347.92</v>
      </c>
      <c r="L37" t="s">
        <v>19</v>
      </c>
      <c r="M37" t="s">
        <v>26</v>
      </c>
      <c r="N37" s="14">
        <f>Table14[[#This Row],[Quantity]]*Table14[[#This Row],[UnitPrice]]*(1-Table14[[#This Row],[Discount]])</f>
        <v>347.92200000000003</v>
      </c>
      <c r="O37" s="8">
        <f>YEAR(Table14[[#This Row],[OrderDate]])</f>
        <v>2025</v>
      </c>
      <c r="P37" s="8" t="str">
        <f>TEXT(Table14[[#This Row],[OrderDate]],"mmmm")</f>
        <v>March</v>
      </c>
      <c r="Q37" s="8" t="str">
        <f t="shared" si="0"/>
        <v>Q1</v>
      </c>
      <c r="R37" s="3">
        <f>Table14[[#This Row],[Revenue]]*25%</f>
        <v>86.98</v>
      </c>
      <c r="S37" s="3">
        <f t="shared" si="1"/>
        <v>62.625599999999999</v>
      </c>
      <c r="T37" s="14">
        <f t="shared" si="2"/>
        <v>285.2944</v>
      </c>
      <c r="U37" s="3" t="str">
        <f t="array" ref="U37">_xlfn.IFS(Table14[[#This Row],[Revenue]]&gt;10000,"High",AND(Table14[[#This Row],[Revenue]]&gt;=5000,Table14[[#This Row],[Revenue]]&lt;=10000),"Medium",Table14[[#This Row],[Revenue]]&lt;5000,"Low")</f>
        <v>Low</v>
      </c>
      <c r="V37" s="3"/>
    </row>
    <row r="38" spans="1:22" x14ac:dyDescent="0.35">
      <c r="A38" s="8">
        <v>1188</v>
      </c>
      <c r="B38" s="2">
        <v>45729</v>
      </c>
      <c r="C38" t="s">
        <v>27</v>
      </c>
      <c r="D38" t="s">
        <v>47</v>
      </c>
      <c r="E38" t="s">
        <v>37</v>
      </c>
      <c r="F38" t="s">
        <v>17</v>
      </c>
      <c r="G38" t="s">
        <v>18</v>
      </c>
      <c r="H38" s="8">
        <v>7</v>
      </c>
      <c r="I38" s="8">
        <v>737.42</v>
      </c>
      <c r="J38" s="8">
        <v>0.1</v>
      </c>
      <c r="K38" s="14">
        <v>4645.75</v>
      </c>
      <c r="L38" t="s">
        <v>19</v>
      </c>
      <c r="M38" t="s">
        <v>36</v>
      </c>
      <c r="N38" s="14">
        <f>Table14[[#This Row],[Quantity]]*Table14[[#This Row],[UnitPrice]]*(1-Table14[[#This Row],[Discount]])</f>
        <v>4645.7460000000001</v>
      </c>
      <c r="O38" s="8">
        <f>YEAR(Table14[[#This Row],[OrderDate]])</f>
        <v>2025</v>
      </c>
      <c r="P38" s="8" t="str">
        <f>TEXT(Table14[[#This Row],[OrderDate]],"mmmm")</f>
        <v>March</v>
      </c>
      <c r="Q38" s="8" t="str">
        <f t="shared" si="0"/>
        <v>Q1</v>
      </c>
      <c r="R38" s="3">
        <f>Table14[[#This Row],[Revenue]]*25%</f>
        <v>1161.4375</v>
      </c>
      <c r="S38" s="3">
        <f t="shared" si="1"/>
        <v>836.23500000000001</v>
      </c>
      <c r="T38" s="14">
        <f t="shared" si="2"/>
        <v>3809.5149999999999</v>
      </c>
      <c r="U38" s="3" t="str">
        <f t="array" ref="U38">_xlfn.IFS(Table14[[#This Row],[Revenue]]&gt;10000,"High",AND(Table14[[#This Row],[Revenue]]&gt;=5000,Table14[[#This Row],[Revenue]]&lt;=10000),"Medium",Table14[[#This Row],[Revenue]]&lt;5000,"Low")</f>
        <v>Low</v>
      </c>
      <c r="V38" s="3"/>
    </row>
    <row r="39" spans="1:22" x14ac:dyDescent="0.35">
      <c r="A39" s="8">
        <v>1139</v>
      </c>
      <c r="B39" s="2">
        <v>45731</v>
      </c>
      <c r="C39" t="s">
        <v>14</v>
      </c>
      <c r="D39" t="s">
        <v>31</v>
      </c>
      <c r="E39" t="s">
        <v>74</v>
      </c>
      <c r="F39" t="s">
        <v>24</v>
      </c>
      <c r="G39" t="s">
        <v>38</v>
      </c>
      <c r="H39" s="8">
        <v>13</v>
      </c>
      <c r="I39" s="8">
        <v>96.33</v>
      </c>
      <c r="J39" s="8">
        <v>0.15</v>
      </c>
      <c r="K39" s="14">
        <v>1064.45</v>
      </c>
      <c r="L39" t="s">
        <v>35</v>
      </c>
      <c r="M39" t="s">
        <v>26</v>
      </c>
      <c r="N39" s="14">
        <f>Table14[[#This Row],[Quantity]]*Table14[[#This Row],[UnitPrice]]*(1-Table14[[#This Row],[Discount]])</f>
        <v>1064.4465</v>
      </c>
      <c r="O39" s="8">
        <f>YEAR(Table14[[#This Row],[OrderDate]])</f>
        <v>2025</v>
      </c>
      <c r="P39" s="8" t="str">
        <f>TEXT(Table14[[#This Row],[OrderDate]],"mmmm")</f>
        <v>March</v>
      </c>
      <c r="Q39" s="8" t="str">
        <f t="shared" si="0"/>
        <v>Q1</v>
      </c>
      <c r="R39" s="3">
        <f>Table14[[#This Row],[Revenue]]*25%</f>
        <v>266.11250000000001</v>
      </c>
      <c r="S39" s="3">
        <f t="shared" si="1"/>
        <v>191.601</v>
      </c>
      <c r="T39" s="14">
        <f t="shared" si="2"/>
        <v>872.84900000000005</v>
      </c>
      <c r="U39" s="3" t="str">
        <f t="array" ref="U39">_xlfn.IFS(Table14[[#This Row],[Revenue]]&gt;10000,"High",AND(Table14[[#This Row],[Revenue]]&gt;=5000,Table14[[#This Row],[Revenue]]&lt;=10000),"Medium",Table14[[#This Row],[Revenue]]&lt;5000,"Low")</f>
        <v>Low</v>
      </c>
      <c r="V39" s="3"/>
    </row>
    <row r="40" spans="1:22" x14ac:dyDescent="0.35">
      <c r="A40" s="8">
        <v>1243</v>
      </c>
      <c r="B40" s="2">
        <v>45731</v>
      </c>
      <c r="C40" t="s">
        <v>43</v>
      </c>
      <c r="D40" t="s">
        <v>15</v>
      </c>
      <c r="E40" t="s">
        <v>75</v>
      </c>
      <c r="F40" t="s">
        <v>17</v>
      </c>
      <c r="G40" t="s">
        <v>18</v>
      </c>
      <c r="H40" s="8">
        <v>11</v>
      </c>
      <c r="I40" s="8">
        <v>462.44</v>
      </c>
      <c r="J40" s="8">
        <v>0</v>
      </c>
      <c r="K40" s="14">
        <v>5086.84</v>
      </c>
      <c r="L40" t="s">
        <v>39</v>
      </c>
      <c r="M40" t="s">
        <v>36</v>
      </c>
      <c r="N40" s="14">
        <f>Table14[[#This Row],[Quantity]]*Table14[[#This Row],[UnitPrice]]*(1-Table14[[#This Row],[Discount]])</f>
        <v>5086.84</v>
      </c>
      <c r="O40" s="8">
        <f>YEAR(Table14[[#This Row],[OrderDate]])</f>
        <v>2025</v>
      </c>
      <c r="P40" s="8" t="str">
        <f>TEXT(Table14[[#This Row],[OrderDate]],"mmmm")</f>
        <v>March</v>
      </c>
      <c r="Q40" s="8" t="str">
        <f t="shared" si="0"/>
        <v>Q1</v>
      </c>
      <c r="R40" s="3">
        <f>Table14[[#This Row],[Revenue]]*25%</f>
        <v>1271.71</v>
      </c>
      <c r="S40" s="3">
        <f t="shared" si="1"/>
        <v>915.63120000000004</v>
      </c>
      <c r="T40" s="14">
        <f t="shared" si="2"/>
        <v>4171.2088000000003</v>
      </c>
      <c r="U40" s="3" t="str">
        <f t="array" ref="U40">_xlfn.IFS(Table14[[#This Row],[Revenue]]&gt;10000,"High",AND(Table14[[#This Row],[Revenue]]&gt;=5000,Table14[[#This Row],[Revenue]]&lt;=10000),"Medium",Table14[[#This Row],[Revenue]]&lt;5000,"Low")</f>
        <v>Medium</v>
      </c>
      <c r="V40" s="3"/>
    </row>
    <row r="41" spans="1:22" x14ac:dyDescent="0.35">
      <c r="A41" s="8">
        <v>1095</v>
      </c>
      <c r="B41" s="2">
        <v>45738</v>
      </c>
      <c r="C41" t="s">
        <v>27</v>
      </c>
      <c r="D41" t="s">
        <v>15</v>
      </c>
      <c r="E41" t="s">
        <v>76</v>
      </c>
      <c r="F41" t="s">
        <v>17</v>
      </c>
      <c r="G41" t="s">
        <v>18</v>
      </c>
      <c r="H41" s="8">
        <v>10</v>
      </c>
      <c r="I41" s="8">
        <v>997.84</v>
      </c>
      <c r="J41" s="8">
        <v>0</v>
      </c>
      <c r="K41" s="14">
        <v>9978.4</v>
      </c>
      <c r="L41" t="s">
        <v>35</v>
      </c>
      <c r="M41" t="s">
        <v>20</v>
      </c>
      <c r="N41" s="14">
        <f>Table14[[#This Row],[Quantity]]*Table14[[#This Row],[UnitPrice]]*(1-Table14[[#This Row],[Discount]])</f>
        <v>9978.4</v>
      </c>
      <c r="O41" s="8">
        <f>YEAR(Table14[[#This Row],[OrderDate]])</f>
        <v>2025</v>
      </c>
      <c r="P41" s="8" t="str">
        <f>TEXT(Table14[[#This Row],[OrderDate]],"mmmm")</f>
        <v>March</v>
      </c>
      <c r="Q41" s="8" t="str">
        <f t="shared" si="0"/>
        <v>Q1</v>
      </c>
      <c r="R41" s="3">
        <f>Table14[[#This Row],[Revenue]]*25%</f>
        <v>2494.6</v>
      </c>
      <c r="S41" s="3">
        <f t="shared" si="1"/>
        <v>1796.1119999999999</v>
      </c>
      <c r="T41" s="14">
        <f t="shared" si="2"/>
        <v>8182.2879999999996</v>
      </c>
      <c r="U41" s="3" t="str">
        <f t="array" ref="U41">_xlfn.IFS(Table14[[#This Row],[Revenue]]&gt;10000,"High",AND(Table14[[#This Row],[Revenue]]&gt;=5000,Table14[[#This Row],[Revenue]]&lt;=10000),"Medium",Table14[[#This Row],[Revenue]]&lt;5000,"Low")</f>
        <v>Medium</v>
      </c>
      <c r="V41" s="3"/>
    </row>
    <row r="42" spans="1:22" x14ac:dyDescent="0.35">
      <c r="A42" s="8">
        <v>1046</v>
      </c>
      <c r="B42" s="2">
        <v>45739</v>
      </c>
      <c r="C42" t="s">
        <v>14</v>
      </c>
      <c r="D42" t="s">
        <v>54</v>
      </c>
      <c r="E42" t="s">
        <v>77</v>
      </c>
      <c r="F42" t="s">
        <v>17</v>
      </c>
      <c r="G42" t="s">
        <v>46</v>
      </c>
      <c r="H42" s="8">
        <v>15</v>
      </c>
      <c r="I42" s="8">
        <v>24.1</v>
      </c>
      <c r="J42" s="8">
        <v>0.15</v>
      </c>
      <c r="K42" s="14">
        <v>307.27</v>
      </c>
      <c r="L42" t="s">
        <v>19</v>
      </c>
      <c r="M42" t="s">
        <v>20</v>
      </c>
      <c r="N42" s="14">
        <f>Table14[[#This Row],[Quantity]]*Table14[[#This Row],[UnitPrice]]*(1-Table14[[#This Row],[Discount]])</f>
        <v>307.27499999999998</v>
      </c>
      <c r="O42" s="8">
        <f>YEAR(Table14[[#This Row],[OrderDate]])</f>
        <v>2025</v>
      </c>
      <c r="P42" s="8" t="str">
        <f>TEXT(Table14[[#This Row],[OrderDate]],"mmmm")</f>
        <v>March</v>
      </c>
      <c r="Q42" s="8" t="str">
        <f t="shared" si="0"/>
        <v>Q1</v>
      </c>
      <c r="R42" s="3">
        <f>Table14[[#This Row],[Revenue]]*25%</f>
        <v>76.817499999999995</v>
      </c>
      <c r="S42" s="3">
        <f t="shared" si="1"/>
        <v>55.308599999999991</v>
      </c>
      <c r="T42" s="14">
        <f t="shared" si="2"/>
        <v>251.9614</v>
      </c>
      <c r="U42" s="3" t="str">
        <f t="array" ref="U42">_xlfn.IFS(Table14[[#This Row],[Revenue]]&gt;10000,"High",AND(Table14[[#This Row],[Revenue]]&gt;=5000,Table14[[#This Row],[Revenue]]&lt;=10000),"Medium",Table14[[#This Row],[Revenue]]&lt;5000,"Low")</f>
        <v>Low</v>
      </c>
      <c r="V42" s="3"/>
    </row>
    <row r="43" spans="1:22" x14ac:dyDescent="0.35">
      <c r="A43" s="8">
        <v>1100</v>
      </c>
      <c r="B43" s="2">
        <v>45739</v>
      </c>
      <c r="C43" t="s">
        <v>43</v>
      </c>
      <c r="D43" t="s">
        <v>15</v>
      </c>
      <c r="E43" t="s">
        <v>78</v>
      </c>
      <c r="F43" t="s">
        <v>17</v>
      </c>
      <c r="G43" t="s">
        <v>30</v>
      </c>
      <c r="H43" s="8">
        <v>12</v>
      </c>
      <c r="I43" s="8">
        <v>275.45</v>
      </c>
      <c r="J43" s="8">
        <v>0</v>
      </c>
      <c r="K43" s="14">
        <v>3305.4</v>
      </c>
      <c r="L43" t="s">
        <v>35</v>
      </c>
      <c r="M43" t="s">
        <v>26</v>
      </c>
      <c r="N43" s="14">
        <f>Table14[[#This Row],[Quantity]]*Table14[[#This Row],[UnitPrice]]*(1-Table14[[#This Row],[Discount]])</f>
        <v>3305.3999999999996</v>
      </c>
      <c r="O43" s="8">
        <f>YEAR(Table14[[#This Row],[OrderDate]])</f>
        <v>2025</v>
      </c>
      <c r="P43" s="8" t="str">
        <f>TEXT(Table14[[#This Row],[OrderDate]],"mmmm")</f>
        <v>March</v>
      </c>
      <c r="Q43" s="8" t="str">
        <f t="shared" si="0"/>
        <v>Q1</v>
      </c>
      <c r="R43" s="3">
        <f>Table14[[#This Row],[Revenue]]*25%</f>
        <v>826.35</v>
      </c>
      <c r="S43" s="3">
        <f t="shared" si="1"/>
        <v>594.97199999999998</v>
      </c>
      <c r="T43" s="14">
        <f t="shared" si="2"/>
        <v>2710.4279999999999</v>
      </c>
      <c r="U43" s="3" t="str">
        <f t="array" ref="U43">_xlfn.IFS(Table14[[#This Row],[Revenue]]&gt;10000,"High",AND(Table14[[#This Row],[Revenue]]&gt;=5000,Table14[[#This Row],[Revenue]]&lt;=10000),"Medium",Table14[[#This Row],[Revenue]]&lt;5000,"Low")</f>
        <v>Low</v>
      </c>
      <c r="V43" s="3"/>
    </row>
    <row r="44" spans="1:22" x14ac:dyDescent="0.35">
      <c r="A44" s="8">
        <v>1131</v>
      </c>
      <c r="B44" s="2">
        <v>45739</v>
      </c>
      <c r="C44" t="s">
        <v>27</v>
      </c>
      <c r="D44" t="s">
        <v>22</v>
      </c>
      <c r="E44" t="s">
        <v>29</v>
      </c>
      <c r="F44" t="s">
        <v>24</v>
      </c>
      <c r="G44" t="s">
        <v>38</v>
      </c>
      <c r="H44" s="8">
        <v>3</v>
      </c>
      <c r="I44" s="8">
        <v>976.39</v>
      </c>
      <c r="J44" s="8">
        <v>0.05</v>
      </c>
      <c r="K44" s="14">
        <v>2782.71</v>
      </c>
      <c r="L44" t="s">
        <v>35</v>
      </c>
      <c r="M44" t="s">
        <v>36</v>
      </c>
      <c r="N44" s="14">
        <f>Table14[[#This Row],[Quantity]]*Table14[[#This Row],[UnitPrice]]*(1-Table14[[#This Row],[Discount]])</f>
        <v>2782.7114999999999</v>
      </c>
      <c r="O44" s="8">
        <f>YEAR(Table14[[#This Row],[OrderDate]])</f>
        <v>2025</v>
      </c>
      <c r="P44" s="8" t="str">
        <f>TEXT(Table14[[#This Row],[OrderDate]],"mmmm")</f>
        <v>March</v>
      </c>
      <c r="Q44" s="8" t="str">
        <f t="shared" si="0"/>
        <v>Q1</v>
      </c>
      <c r="R44" s="3">
        <f>Table14[[#This Row],[Revenue]]*25%</f>
        <v>695.67750000000001</v>
      </c>
      <c r="S44" s="3">
        <f t="shared" si="1"/>
        <v>500.88779999999997</v>
      </c>
      <c r="T44" s="14">
        <f t="shared" si="2"/>
        <v>2281.8222000000001</v>
      </c>
      <c r="U44" s="3" t="str">
        <f t="array" ref="U44">_xlfn.IFS(Table14[[#This Row],[Revenue]]&gt;10000,"High",AND(Table14[[#This Row],[Revenue]]&gt;=5000,Table14[[#This Row],[Revenue]]&lt;=10000),"Medium",Table14[[#This Row],[Revenue]]&lt;5000,"Low")</f>
        <v>Low</v>
      </c>
      <c r="V44" s="3"/>
    </row>
    <row r="45" spans="1:22" x14ac:dyDescent="0.35">
      <c r="A45" s="8">
        <v>1050</v>
      </c>
      <c r="B45" s="2">
        <v>45742</v>
      </c>
      <c r="C45" t="s">
        <v>14</v>
      </c>
      <c r="D45" t="s">
        <v>28</v>
      </c>
      <c r="E45" t="s">
        <v>79</v>
      </c>
      <c r="F45" t="s">
        <v>24</v>
      </c>
      <c r="G45" t="s">
        <v>38</v>
      </c>
      <c r="H45" s="8">
        <v>15</v>
      </c>
      <c r="I45" s="8">
        <v>527.89</v>
      </c>
      <c r="J45" s="8">
        <v>0.1</v>
      </c>
      <c r="K45" s="14">
        <v>7126.51</v>
      </c>
      <c r="L45" t="s">
        <v>39</v>
      </c>
      <c r="M45" t="s">
        <v>26</v>
      </c>
      <c r="N45" s="14">
        <f>Table14[[#This Row],[Quantity]]*Table14[[#This Row],[UnitPrice]]*(1-Table14[[#This Row],[Discount]])</f>
        <v>7126.5149999999994</v>
      </c>
      <c r="O45" s="8">
        <f>YEAR(Table14[[#This Row],[OrderDate]])</f>
        <v>2025</v>
      </c>
      <c r="P45" s="8" t="str">
        <f>TEXT(Table14[[#This Row],[OrderDate]],"mmmm")</f>
        <v>March</v>
      </c>
      <c r="Q45" s="8" t="str">
        <f t="shared" si="0"/>
        <v>Q1</v>
      </c>
      <c r="R45" s="3">
        <f>Table14[[#This Row],[Revenue]]*25%</f>
        <v>1781.6275000000001</v>
      </c>
      <c r="S45" s="3">
        <f t="shared" si="1"/>
        <v>1282.7718</v>
      </c>
      <c r="T45" s="14">
        <f t="shared" si="2"/>
        <v>5843.7381999999998</v>
      </c>
      <c r="U45" s="3" t="str">
        <f t="array" ref="U45">_xlfn.IFS(Table14[[#This Row],[Revenue]]&gt;10000,"High",AND(Table14[[#This Row],[Revenue]]&gt;=5000,Table14[[#This Row],[Revenue]]&lt;=10000),"Medium",Table14[[#This Row],[Revenue]]&lt;5000,"Low")</f>
        <v>Medium</v>
      </c>
      <c r="V45" s="3"/>
    </row>
    <row r="46" spans="1:22" x14ac:dyDescent="0.35">
      <c r="A46" s="8">
        <v>1288</v>
      </c>
      <c r="B46" s="2">
        <v>45742</v>
      </c>
      <c r="C46" t="s">
        <v>21</v>
      </c>
      <c r="D46" t="s">
        <v>31</v>
      </c>
      <c r="E46" t="s">
        <v>80</v>
      </c>
      <c r="F46" t="s">
        <v>17</v>
      </c>
      <c r="G46" t="s">
        <v>18</v>
      </c>
      <c r="H46" s="8">
        <v>14</v>
      </c>
      <c r="I46" s="8">
        <v>40.82</v>
      </c>
      <c r="J46" s="8">
        <v>0.05</v>
      </c>
      <c r="K46" s="14">
        <v>542.91</v>
      </c>
      <c r="L46" t="s">
        <v>39</v>
      </c>
      <c r="M46" t="s">
        <v>36</v>
      </c>
      <c r="N46" s="14">
        <f>Table14[[#This Row],[Quantity]]*Table14[[#This Row],[UnitPrice]]*(1-Table14[[#This Row],[Discount]])</f>
        <v>542.90599999999995</v>
      </c>
      <c r="O46" s="8">
        <f>YEAR(Table14[[#This Row],[OrderDate]])</f>
        <v>2025</v>
      </c>
      <c r="P46" s="8" t="str">
        <f>TEXT(Table14[[#This Row],[OrderDate]],"mmmm")</f>
        <v>March</v>
      </c>
      <c r="Q46" s="8" t="str">
        <f t="shared" si="0"/>
        <v>Q1</v>
      </c>
      <c r="R46" s="3">
        <f>Table14[[#This Row],[Revenue]]*25%</f>
        <v>135.72749999999999</v>
      </c>
      <c r="S46" s="3">
        <f t="shared" si="1"/>
        <v>97.723799999999997</v>
      </c>
      <c r="T46" s="14">
        <f t="shared" si="2"/>
        <v>445.18619999999999</v>
      </c>
      <c r="U46" s="3" t="str">
        <f t="array" ref="U46">_xlfn.IFS(Table14[[#This Row],[Revenue]]&gt;10000,"High",AND(Table14[[#This Row],[Revenue]]&gt;=5000,Table14[[#This Row],[Revenue]]&lt;=10000),"Medium",Table14[[#This Row],[Revenue]]&lt;5000,"Low")</f>
        <v>Low</v>
      </c>
      <c r="V46" s="3"/>
    </row>
    <row r="47" spans="1:22" x14ac:dyDescent="0.35">
      <c r="A47" s="8">
        <v>1102</v>
      </c>
      <c r="B47" s="2">
        <v>45745</v>
      </c>
      <c r="C47" t="s">
        <v>43</v>
      </c>
      <c r="D47" t="s">
        <v>28</v>
      </c>
      <c r="E47" t="s">
        <v>49</v>
      </c>
      <c r="F47" t="s">
        <v>33</v>
      </c>
      <c r="G47" t="s">
        <v>34</v>
      </c>
      <c r="H47" s="8">
        <v>5</v>
      </c>
      <c r="I47" s="8">
        <v>129.84</v>
      </c>
      <c r="J47" s="8">
        <v>0.05</v>
      </c>
      <c r="K47" s="14">
        <v>616.74</v>
      </c>
      <c r="L47" t="s">
        <v>39</v>
      </c>
      <c r="M47" t="s">
        <v>26</v>
      </c>
      <c r="N47" s="14">
        <f>Table14[[#This Row],[Quantity]]*Table14[[#This Row],[UnitPrice]]*(1-Table14[[#This Row],[Discount]])</f>
        <v>616.74</v>
      </c>
      <c r="O47" s="8">
        <f>YEAR(Table14[[#This Row],[OrderDate]])</f>
        <v>2025</v>
      </c>
      <c r="P47" s="8" t="str">
        <f>TEXT(Table14[[#This Row],[OrderDate]],"mmmm")</f>
        <v>March</v>
      </c>
      <c r="Q47" s="8" t="str">
        <f t="shared" si="0"/>
        <v>Q1</v>
      </c>
      <c r="R47" s="3">
        <f>Table14[[#This Row],[Revenue]]*25%</f>
        <v>154.185</v>
      </c>
      <c r="S47" s="3">
        <f t="shared" si="1"/>
        <v>111.0132</v>
      </c>
      <c r="T47" s="14">
        <f t="shared" si="2"/>
        <v>505.72680000000003</v>
      </c>
      <c r="U47" s="3" t="str">
        <f t="array" ref="U47">_xlfn.IFS(Table14[[#This Row],[Revenue]]&gt;10000,"High",AND(Table14[[#This Row],[Revenue]]&gt;=5000,Table14[[#This Row],[Revenue]]&lt;=10000),"Medium",Table14[[#This Row],[Revenue]]&lt;5000,"Low")</f>
        <v>Low</v>
      </c>
      <c r="V47" s="3"/>
    </row>
    <row r="48" spans="1:22" x14ac:dyDescent="0.35">
      <c r="A48" s="8">
        <v>1096</v>
      </c>
      <c r="B48" s="2">
        <v>45747</v>
      </c>
      <c r="C48" t="s">
        <v>21</v>
      </c>
      <c r="D48" t="s">
        <v>15</v>
      </c>
      <c r="E48" t="s">
        <v>77</v>
      </c>
      <c r="F48" t="s">
        <v>33</v>
      </c>
      <c r="G48" t="s">
        <v>53</v>
      </c>
      <c r="H48" s="8">
        <v>9</v>
      </c>
      <c r="I48" s="8">
        <v>60.43</v>
      </c>
      <c r="J48" s="8">
        <v>0.15</v>
      </c>
      <c r="K48" s="14">
        <v>462.29</v>
      </c>
      <c r="L48" t="s">
        <v>35</v>
      </c>
      <c r="M48" t="s">
        <v>26</v>
      </c>
      <c r="N48" s="14">
        <f>Table14[[#This Row],[Quantity]]*Table14[[#This Row],[UnitPrice]]*(1-Table14[[#This Row],[Discount]])</f>
        <v>462.28949999999998</v>
      </c>
      <c r="O48" s="8">
        <f>YEAR(Table14[[#This Row],[OrderDate]])</f>
        <v>2025</v>
      </c>
      <c r="P48" s="8" t="str">
        <f>TEXT(Table14[[#This Row],[OrderDate]],"mmmm")</f>
        <v>March</v>
      </c>
      <c r="Q48" s="8" t="str">
        <f t="shared" si="0"/>
        <v>Q1</v>
      </c>
      <c r="R48" s="3">
        <f>Table14[[#This Row],[Revenue]]*25%</f>
        <v>115.57250000000001</v>
      </c>
      <c r="S48" s="3">
        <f t="shared" si="1"/>
        <v>83.212199999999996</v>
      </c>
      <c r="T48" s="14">
        <f t="shared" si="2"/>
        <v>379.07780000000002</v>
      </c>
      <c r="U48" s="3" t="str">
        <f t="array" ref="U48">_xlfn.IFS(Table14[[#This Row],[Revenue]]&gt;10000,"High",AND(Table14[[#This Row],[Revenue]]&gt;=5000,Table14[[#This Row],[Revenue]]&lt;=10000),"Medium",Table14[[#This Row],[Revenue]]&lt;5000,"Low")</f>
        <v>Low</v>
      </c>
      <c r="V48" s="3"/>
    </row>
    <row r="49" spans="1:22" x14ac:dyDescent="0.35">
      <c r="A49" s="8">
        <v>1171</v>
      </c>
      <c r="B49" s="2">
        <v>45748</v>
      </c>
      <c r="C49" t="s">
        <v>43</v>
      </c>
      <c r="D49" t="s">
        <v>31</v>
      </c>
      <c r="E49" t="s">
        <v>45</v>
      </c>
      <c r="F49" t="s">
        <v>33</v>
      </c>
      <c r="G49" t="s">
        <v>53</v>
      </c>
      <c r="H49" s="8">
        <v>8</v>
      </c>
      <c r="I49" s="8">
        <v>1022.32</v>
      </c>
      <c r="J49" s="8">
        <v>0</v>
      </c>
      <c r="K49" s="14">
        <v>8178.56</v>
      </c>
      <c r="L49" t="s">
        <v>35</v>
      </c>
      <c r="M49" t="s">
        <v>26</v>
      </c>
      <c r="N49" s="14">
        <f>Table14[[#This Row],[Quantity]]*Table14[[#This Row],[UnitPrice]]*(1-Table14[[#This Row],[Discount]])</f>
        <v>8178.56</v>
      </c>
      <c r="O49" s="8">
        <f>YEAR(Table14[[#This Row],[OrderDate]])</f>
        <v>2025</v>
      </c>
      <c r="P49" s="8" t="str">
        <f>TEXT(Table14[[#This Row],[OrderDate]],"mmmm")</f>
        <v>April</v>
      </c>
      <c r="Q49" s="8" t="str">
        <f t="shared" si="0"/>
        <v>Q2</v>
      </c>
      <c r="R49" s="3">
        <f>Table14[[#This Row],[Revenue]]*25%</f>
        <v>2044.64</v>
      </c>
      <c r="S49" s="3">
        <f t="shared" si="1"/>
        <v>1472.1408000000001</v>
      </c>
      <c r="T49" s="14">
        <f t="shared" si="2"/>
        <v>6706.4192000000003</v>
      </c>
      <c r="U49" s="3" t="str">
        <f t="array" ref="U49">_xlfn.IFS(Table14[[#This Row],[Revenue]]&gt;10000,"High",AND(Table14[[#This Row],[Revenue]]&gt;=5000,Table14[[#This Row],[Revenue]]&lt;=10000),"Medium",Table14[[#This Row],[Revenue]]&lt;5000,"Low")</f>
        <v>Medium</v>
      </c>
      <c r="V49" s="3"/>
    </row>
    <row r="50" spans="1:22" x14ac:dyDescent="0.35">
      <c r="A50" s="8">
        <v>1255</v>
      </c>
      <c r="B50" s="2">
        <v>45749</v>
      </c>
      <c r="C50" t="s">
        <v>14</v>
      </c>
      <c r="D50" t="s">
        <v>31</v>
      </c>
      <c r="E50" t="s">
        <v>81</v>
      </c>
      <c r="F50" t="s">
        <v>17</v>
      </c>
      <c r="G50" t="s">
        <v>18</v>
      </c>
      <c r="H50" s="8">
        <v>6</v>
      </c>
      <c r="I50" s="8">
        <v>764.82</v>
      </c>
      <c r="J50" s="8">
        <v>0.05</v>
      </c>
      <c r="K50" s="14">
        <v>4359.47</v>
      </c>
      <c r="L50" t="s">
        <v>35</v>
      </c>
      <c r="M50" t="s">
        <v>36</v>
      </c>
      <c r="N50" s="14">
        <f>Table14[[#This Row],[Quantity]]*Table14[[#This Row],[UnitPrice]]*(1-Table14[[#This Row],[Discount]])</f>
        <v>4359.4740000000002</v>
      </c>
      <c r="O50" s="8">
        <f>YEAR(Table14[[#This Row],[OrderDate]])</f>
        <v>2025</v>
      </c>
      <c r="P50" s="8" t="str">
        <f>TEXT(Table14[[#This Row],[OrderDate]],"mmmm")</f>
        <v>April</v>
      </c>
      <c r="Q50" s="8" t="str">
        <f t="shared" si="0"/>
        <v>Q2</v>
      </c>
      <c r="R50" s="3">
        <f>Table14[[#This Row],[Revenue]]*25%</f>
        <v>1089.8675000000001</v>
      </c>
      <c r="S50" s="3">
        <f t="shared" si="1"/>
        <v>784.70460000000003</v>
      </c>
      <c r="T50" s="14">
        <f t="shared" si="2"/>
        <v>3574.7654000000002</v>
      </c>
      <c r="U50" s="3" t="str">
        <f t="array" ref="U50">_xlfn.IFS(Table14[[#This Row],[Revenue]]&gt;10000,"High",AND(Table14[[#This Row],[Revenue]]&gt;=5000,Table14[[#This Row],[Revenue]]&lt;=10000),"Medium",Table14[[#This Row],[Revenue]]&lt;5000,"Low")</f>
        <v>Low</v>
      </c>
      <c r="V50" s="3"/>
    </row>
    <row r="51" spans="1:22" x14ac:dyDescent="0.35">
      <c r="A51" s="8">
        <v>1284</v>
      </c>
      <c r="B51" s="2">
        <v>45750</v>
      </c>
      <c r="C51" t="s">
        <v>27</v>
      </c>
      <c r="D51" t="s">
        <v>31</v>
      </c>
      <c r="E51" t="s">
        <v>80</v>
      </c>
      <c r="F51" t="s">
        <v>17</v>
      </c>
      <c r="G51" t="s">
        <v>46</v>
      </c>
      <c r="H51" s="8">
        <v>8</v>
      </c>
      <c r="I51" s="8">
        <v>495.46</v>
      </c>
      <c r="J51" s="8">
        <v>0.1</v>
      </c>
      <c r="K51" s="14">
        <v>3567.31</v>
      </c>
      <c r="L51" t="s">
        <v>19</v>
      </c>
      <c r="M51" t="s">
        <v>26</v>
      </c>
      <c r="N51" s="14">
        <f>Table14[[#This Row],[Quantity]]*Table14[[#This Row],[UnitPrice]]*(1-Table14[[#This Row],[Discount]])</f>
        <v>3567.3119999999999</v>
      </c>
      <c r="O51" s="8">
        <f>YEAR(Table14[[#This Row],[OrderDate]])</f>
        <v>2025</v>
      </c>
      <c r="P51" s="8" t="str">
        <f>TEXT(Table14[[#This Row],[OrderDate]],"mmmm")</f>
        <v>April</v>
      </c>
      <c r="Q51" s="8" t="str">
        <f t="shared" si="0"/>
        <v>Q2</v>
      </c>
      <c r="R51" s="3">
        <f>Table14[[#This Row],[Revenue]]*25%</f>
        <v>891.82749999999999</v>
      </c>
      <c r="S51" s="3">
        <f t="shared" si="1"/>
        <v>642.11579999999992</v>
      </c>
      <c r="T51" s="14">
        <f t="shared" si="2"/>
        <v>2925.1941999999999</v>
      </c>
      <c r="U51" s="3" t="str">
        <f t="array" ref="U51">_xlfn.IFS(Table14[[#This Row],[Revenue]]&gt;10000,"High",AND(Table14[[#This Row],[Revenue]]&gt;=5000,Table14[[#This Row],[Revenue]]&lt;=10000),"Medium",Table14[[#This Row],[Revenue]]&lt;5000,"Low")</f>
        <v>Low</v>
      </c>
      <c r="V51" s="3"/>
    </row>
    <row r="52" spans="1:22" x14ac:dyDescent="0.35">
      <c r="A52" s="8">
        <v>1052</v>
      </c>
      <c r="B52" s="2">
        <v>45751</v>
      </c>
      <c r="C52" t="s">
        <v>21</v>
      </c>
      <c r="D52" t="s">
        <v>31</v>
      </c>
      <c r="E52" t="s">
        <v>81</v>
      </c>
      <c r="F52" t="s">
        <v>33</v>
      </c>
      <c r="G52" t="s">
        <v>53</v>
      </c>
      <c r="H52" s="8">
        <v>9</v>
      </c>
      <c r="I52" s="8">
        <v>80.95</v>
      </c>
      <c r="J52" s="8">
        <v>0</v>
      </c>
      <c r="K52" s="14">
        <v>728.55</v>
      </c>
      <c r="L52" t="s">
        <v>35</v>
      </c>
      <c r="M52" t="s">
        <v>26</v>
      </c>
      <c r="N52" s="14">
        <f>Table14[[#This Row],[Quantity]]*Table14[[#This Row],[UnitPrice]]*(1-Table14[[#This Row],[Discount]])</f>
        <v>728.55000000000007</v>
      </c>
      <c r="O52" s="8">
        <f>YEAR(Table14[[#This Row],[OrderDate]])</f>
        <v>2025</v>
      </c>
      <c r="P52" s="8" t="str">
        <f>TEXT(Table14[[#This Row],[OrderDate]],"mmmm")</f>
        <v>April</v>
      </c>
      <c r="Q52" s="8" t="str">
        <f t="shared" si="0"/>
        <v>Q2</v>
      </c>
      <c r="R52" s="3">
        <f>Table14[[#This Row],[Revenue]]*25%</f>
        <v>182.13749999999999</v>
      </c>
      <c r="S52" s="3">
        <f t="shared" si="1"/>
        <v>131.13899999999998</v>
      </c>
      <c r="T52" s="14">
        <f t="shared" si="2"/>
        <v>597.41099999999994</v>
      </c>
      <c r="U52" s="3" t="str">
        <f t="array" ref="U52">_xlfn.IFS(Table14[[#This Row],[Revenue]]&gt;10000,"High",AND(Table14[[#This Row],[Revenue]]&gt;=5000,Table14[[#This Row],[Revenue]]&lt;=10000),"Medium",Table14[[#This Row],[Revenue]]&lt;5000,"Low")</f>
        <v>Low</v>
      </c>
      <c r="V52" s="3"/>
    </row>
    <row r="53" spans="1:22" x14ac:dyDescent="0.35">
      <c r="A53" s="8">
        <v>1161</v>
      </c>
      <c r="B53" s="2">
        <v>45753</v>
      </c>
      <c r="C53" t="s">
        <v>27</v>
      </c>
      <c r="D53" t="s">
        <v>47</v>
      </c>
      <c r="E53" t="s">
        <v>80</v>
      </c>
      <c r="F53" t="s">
        <v>24</v>
      </c>
      <c r="G53" t="s">
        <v>38</v>
      </c>
      <c r="H53" s="8">
        <v>6</v>
      </c>
      <c r="I53" s="8">
        <v>1198.32</v>
      </c>
      <c r="J53" s="8">
        <v>0.15</v>
      </c>
      <c r="K53" s="14">
        <v>6111.43</v>
      </c>
      <c r="L53" t="s">
        <v>39</v>
      </c>
      <c r="M53" t="s">
        <v>36</v>
      </c>
      <c r="N53" s="14">
        <f>Table14[[#This Row],[Quantity]]*Table14[[#This Row],[UnitPrice]]*(1-Table14[[#This Row],[Discount]])</f>
        <v>6111.4319999999998</v>
      </c>
      <c r="O53" s="8">
        <f>YEAR(Table14[[#This Row],[OrderDate]])</f>
        <v>2025</v>
      </c>
      <c r="P53" s="8" t="str">
        <f>TEXT(Table14[[#This Row],[OrderDate]],"mmmm")</f>
        <v>April</v>
      </c>
      <c r="Q53" s="8" t="str">
        <f t="shared" si="0"/>
        <v>Q2</v>
      </c>
      <c r="R53" s="3">
        <f>Table14[[#This Row],[Revenue]]*25%</f>
        <v>1527.8575000000001</v>
      </c>
      <c r="S53" s="3">
        <f t="shared" si="1"/>
        <v>1100.0573999999999</v>
      </c>
      <c r="T53" s="14">
        <f t="shared" si="2"/>
        <v>5011.3726000000006</v>
      </c>
      <c r="U53" s="3" t="str">
        <f t="array" ref="U53">_xlfn.IFS(Table14[[#This Row],[Revenue]]&gt;10000,"High",AND(Table14[[#This Row],[Revenue]]&gt;=5000,Table14[[#This Row],[Revenue]]&lt;=10000),"Medium",Table14[[#This Row],[Revenue]]&lt;5000,"Low")</f>
        <v>Medium</v>
      </c>
      <c r="V53" s="3"/>
    </row>
    <row r="54" spans="1:22" x14ac:dyDescent="0.35">
      <c r="A54" s="8">
        <v>1128</v>
      </c>
      <c r="B54" s="2">
        <v>45755</v>
      </c>
      <c r="C54" t="s">
        <v>43</v>
      </c>
      <c r="D54" t="s">
        <v>54</v>
      </c>
      <c r="E54" t="s">
        <v>60</v>
      </c>
      <c r="F54" t="s">
        <v>33</v>
      </c>
      <c r="G54" t="s">
        <v>61</v>
      </c>
      <c r="H54" s="8">
        <v>7</v>
      </c>
      <c r="I54" s="8">
        <v>1071.58</v>
      </c>
      <c r="J54" s="8">
        <v>0.05</v>
      </c>
      <c r="K54" s="14">
        <v>7126.01</v>
      </c>
      <c r="L54" t="s">
        <v>35</v>
      </c>
      <c r="M54" t="s">
        <v>36</v>
      </c>
      <c r="N54" s="14">
        <f>Table14[[#This Row],[Quantity]]*Table14[[#This Row],[UnitPrice]]*(1-Table14[[#This Row],[Discount]])</f>
        <v>7126.0069999999996</v>
      </c>
      <c r="O54" s="8">
        <f>YEAR(Table14[[#This Row],[OrderDate]])</f>
        <v>2025</v>
      </c>
      <c r="P54" s="8" t="str">
        <f>TEXT(Table14[[#This Row],[OrderDate]],"mmmm")</f>
        <v>April</v>
      </c>
      <c r="Q54" s="8" t="str">
        <f t="shared" si="0"/>
        <v>Q2</v>
      </c>
      <c r="R54" s="3">
        <f>Table14[[#This Row],[Revenue]]*25%</f>
        <v>1781.5025000000001</v>
      </c>
      <c r="S54" s="3">
        <f t="shared" si="1"/>
        <v>1282.6818000000001</v>
      </c>
      <c r="T54" s="14">
        <f t="shared" si="2"/>
        <v>5843.3281999999999</v>
      </c>
      <c r="U54" s="3" t="str">
        <f t="array" ref="U54">_xlfn.IFS(Table14[[#This Row],[Revenue]]&gt;10000,"High",AND(Table14[[#This Row],[Revenue]]&gt;=5000,Table14[[#This Row],[Revenue]]&lt;=10000),"Medium",Table14[[#This Row],[Revenue]]&lt;5000,"Low")</f>
        <v>Medium</v>
      </c>
      <c r="V54" s="3"/>
    </row>
    <row r="55" spans="1:22" x14ac:dyDescent="0.35">
      <c r="A55" s="8">
        <v>1153</v>
      </c>
      <c r="B55" s="2">
        <v>45756</v>
      </c>
      <c r="C55" t="s">
        <v>27</v>
      </c>
      <c r="D55" t="s">
        <v>28</v>
      </c>
      <c r="E55" t="s">
        <v>51</v>
      </c>
      <c r="F55" t="s">
        <v>24</v>
      </c>
      <c r="G55" t="s">
        <v>38</v>
      </c>
      <c r="H55" s="8">
        <v>10</v>
      </c>
      <c r="I55" s="8">
        <v>644.11</v>
      </c>
      <c r="J55" s="8">
        <v>0</v>
      </c>
      <c r="K55" s="14">
        <v>6441.1</v>
      </c>
      <c r="L55" t="s">
        <v>39</v>
      </c>
      <c r="M55" t="s">
        <v>20</v>
      </c>
      <c r="N55" s="14">
        <f>Table14[[#This Row],[Quantity]]*Table14[[#This Row],[UnitPrice]]*(1-Table14[[#This Row],[Discount]])</f>
        <v>6441.1</v>
      </c>
      <c r="O55" s="8">
        <f>YEAR(Table14[[#This Row],[OrderDate]])</f>
        <v>2025</v>
      </c>
      <c r="P55" s="8" t="str">
        <f>TEXT(Table14[[#This Row],[OrderDate]],"mmmm")</f>
        <v>April</v>
      </c>
      <c r="Q55" s="8" t="str">
        <f t="shared" si="0"/>
        <v>Q2</v>
      </c>
      <c r="R55" s="3">
        <f>Table14[[#This Row],[Revenue]]*25%</f>
        <v>1610.2750000000001</v>
      </c>
      <c r="S55" s="3">
        <f t="shared" si="1"/>
        <v>1159.3979999999999</v>
      </c>
      <c r="T55" s="14">
        <f t="shared" si="2"/>
        <v>5281.7020000000002</v>
      </c>
      <c r="U55" s="3" t="str">
        <f t="array" ref="U55">_xlfn.IFS(Table14[[#This Row],[Revenue]]&gt;10000,"High",AND(Table14[[#This Row],[Revenue]]&gt;=5000,Table14[[#This Row],[Revenue]]&lt;=10000),"Medium",Table14[[#This Row],[Revenue]]&lt;5000,"Low")</f>
        <v>Medium</v>
      </c>
      <c r="V55" s="3"/>
    </row>
    <row r="56" spans="1:22" x14ac:dyDescent="0.35">
      <c r="A56" s="8">
        <v>1080</v>
      </c>
      <c r="B56" s="2">
        <v>45757</v>
      </c>
      <c r="C56" t="s">
        <v>14</v>
      </c>
      <c r="D56" t="s">
        <v>54</v>
      </c>
      <c r="E56" t="s">
        <v>82</v>
      </c>
      <c r="F56" t="s">
        <v>33</v>
      </c>
      <c r="G56" t="s">
        <v>61</v>
      </c>
      <c r="H56" s="8">
        <v>15</v>
      </c>
      <c r="I56" s="8">
        <v>507.31</v>
      </c>
      <c r="J56" s="8">
        <v>0.1</v>
      </c>
      <c r="K56" s="14">
        <v>6848.68</v>
      </c>
      <c r="L56" t="s">
        <v>35</v>
      </c>
      <c r="M56" t="s">
        <v>26</v>
      </c>
      <c r="N56" s="14">
        <f>Table14[[#This Row],[Quantity]]*Table14[[#This Row],[UnitPrice]]*(1-Table14[[#This Row],[Discount]])</f>
        <v>6848.6849999999995</v>
      </c>
      <c r="O56" s="8">
        <f>YEAR(Table14[[#This Row],[OrderDate]])</f>
        <v>2025</v>
      </c>
      <c r="P56" s="8" t="str">
        <f>TEXT(Table14[[#This Row],[OrderDate]],"mmmm")</f>
        <v>April</v>
      </c>
      <c r="Q56" s="8" t="str">
        <f t="shared" si="0"/>
        <v>Q2</v>
      </c>
      <c r="R56" s="3">
        <f>Table14[[#This Row],[Revenue]]*25%</f>
        <v>1712.17</v>
      </c>
      <c r="S56" s="3">
        <f t="shared" si="1"/>
        <v>1232.7624000000001</v>
      </c>
      <c r="T56" s="14">
        <f t="shared" si="2"/>
        <v>5615.9176000000007</v>
      </c>
      <c r="U56" s="3" t="str">
        <f t="array" ref="U56">_xlfn.IFS(Table14[[#This Row],[Revenue]]&gt;10000,"High",AND(Table14[[#This Row],[Revenue]]&gt;=5000,Table14[[#This Row],[Revenue]]&lt;=10000),"Medium",Table14[[#This Row],[Revenue]]&lt;5000,"Low")</f>
        <v>Medium</v>
      </c>
      <c r="V56" s="3"/>
    </row>
    <row r="57" spans="1:22" x14ac:dyDescent="0.35">
      <c r="A57" s="8">
        <v>1107</v>
      </c>
      <c r="B57" s="2">
        <v>45757</v>
      </c>
      <c r="C57" t="s">
        <v>43</v>
      </c>
      <c r="D57" t="s">
        <v>47</v>
      </c>
      <c r="E57" t="s">
        <v>16</v>
      </c>
      <c r="F57" t="s">
        <v>33</v>
      </c>
      <c r="G57" t="s">
        <v>34</v>
      </c>
      <c r="H57" s="8">
        <v>8</v>
      </c>
      <c r="I57" s="8">
        <v>671.23</v>
      </c>
      <c r="J57" s="8">
        <v>0.1</v>
      </c>
      <c r="K57" s="14">
        <v>4832.8599999999997</v>
      </c>
      <c r="L57" t="s">
        <v>19</v>
      </c>
      <c r="M57" t="s">
        <v>36</v>
      </c>
      <c r="N57" s="14">
        <f>Table14[[#This Row],[Quantity]]*Table14[[#This Row],[UnitPrice]]*(1-Table14[[#This Row],[Discount]])</f>
        <v>4832.8560000000007</v>
      </c>
      <c r="O57" s="8">
        <f>YEAR(Table14[[#This Row],[OrderDate]])</f>
        <v>2025</v>
      </c>
      <c r="P57" s="8" t="str">
        <f>TEXT(Table14[[#This Row],[OrderDate]],"mmmm")</f>
        <v>April</v>
      </c>
      <c r="Q57" s="8" t="str">
        <f t="shared" si="0"/>
        <v>Q2</v>
      </c>
      <c r="R57" s="3">
        <f>Table14[[#This Row],[Revenue]]*25%</f>
        <v>1208.2149999999999</v>
      </c>
      <c r="S57" s="3">
        <f t="shared" si="1"/>
        <v>869.9147999999999</v>
      </c>
      <c r="T57" s="14">
        <f t="shared" si="2"/>
        <v>3962.9451999999997</v>
      </c>
      <c r="U57" s="3" t="str">
        <f t="array" ref="U57">_xlfn.IFS(Table14[[#This Row],[Revenue]]&gt;10000,"High",AND(Table14[[#This Row],[Revenue]]&gt;=5000,Table14[[#This Row],[Revenue]]&lt;=10000),"Medium",Table14[[#This Row],[Revenue]]&lt;5000,"Low")</f>
        <v>Low</v>
      </c>
      <c r="V57" s="3"/>
    </row>
    <row r="58" spans="1:22" x14ac:dyDescent="0.35">
      <c r="A58" s="8">
        <v>1101</v>
      </c>
      <c r="B58" s="2">
        <v>45759</v>
      </c>
      <c r="C58" t="s">
        <v>43</v>
      </c>
      <c r="D58" t="s">
        <v>31</v>
      </c>
      <c r="E58" t="s">
        <v>83</v>
      </c>
      <c r="F58" t="s">
        <v>17</v>
      </c>
      <c r="G58" t="s">
        <v>46</v>
      </c>
      <c r="H58" s="8">
        <v>14</v>
      </c>
      <c r="I58" s="8">
        <v>397.49</v>
      </c>
      <c r="J58" s="8">
        <v>0.1</v>
      </c>
      <c r="K58" s="14">
        <v>5008.37</v>
      </c>
      <c r="L58" t="s">
        <v>39</v>
      </c>
      <c r="M58" t="s">
        <v>26</v>
      </c>
      <c r="N58" s="14">
        <f>Table14[[#This Row],[Quantity]]*Table14[[#This Row],[UnitPrice]]*(1-Table14[[#This Row],[Discount]])</f>
        <v>5008.3740000000007</v>
      </c>
      <c r="O58" s="8">
        <f>YEAR(Table14[[#This Row],[OrderDate]])</f>
        <v>2025</v>
      </c>
      <c r="P58" s="8" t="str">
        <f>TEXT(Table14[[#This Row],[OrderDate]],"mmmm")</f>
        <v>April</v>
      </c>
      <c r="Q58" s="8" t="str">
        <f t="shared" si="0"/>
        <v>Q2</v>
      </c>
      <c r="R58" s="3">
        <f>Table14[[#This Row],[Revenue]]*25%</f>
        <v>1252.0925</v>
      </c>
      <c r="S58" s="3">
        <f t="shared" si="1"/>
        <v>901.50659999999993</v>
      </c>
      <c r="T58" s="14">
        <f t="shared" si="2"/>
        <v>4106.8634000000002</v>
      </c>
      <c r="U58" s="3" t="str">
        <f t="array" ref="U58">_xlfn.IFS(Table14[[#This Row],[Revenue]]&gt;10000,"High",AND(Table14[[#This Row],[Revenue]]&gt;=5000,Table14[[#This Row],[Revenue]]&lt;=10000),"Medium",Table14[[#This Row],[Revenue]]&lt;5000,"Low")</f>
        <v>Medium</v>
      </c>
      <c r="V58" s="3"/>
    </row>
    <row r="59" spans="1:22" x14ac:dyDescent="0.35">
      <c r="A59" s="8">
        <v>1033</v>
      </c>
      <c r="B59" s="2">
        <v>45763</v>
      </c>
      <c r="C59" t="s">
        <v>27</v>
      </c>
      <c r="D59" t="s">
        <v>54</v>
      </c>
      <c r="E59" t="s">
        <v>73</v>
      </c>
      <c r="F59" t="s">
        <v>17</v>
      </c>
      <c r="G59" t="s">
        <v>18</v>
      </c>
      <c r="H59" s="8">
        <v>5</v>
      </c>
      <c r="I59" s="8">
        <v>135.82</v>
      </c>
      <c r="J59" s="8">
        <v>0.05</v>
      </c>
      <c r="K59" s="14">
        <v>645.14</v>
      </c>
      <c r="L59" t="s">
        <v>39</v>
      </c>
      <c r="M59" t="s">
        <v>20</v>
      </c>
      <c r="N59" s="14">
        <f>Table14[[#This Row],[Quantity]]*Table14[[#This Row],[UnitPrice]]*(1-Table14[[#This Row],[Discount]])</f>
        <v>645.14499999999987</v>
      </c>
      <c r="O59" s="8">
        <f>YEAR(Table14[[#This Row],[OrderDate]])</f>
        <v>2025</v>
      </c>
      <c r="P59" s="8" t="str">
        <f>TEXT(Table14[[#This Row],[OrderDate]],"mmmm")</f>
        <v>April</v>
      </c>
      <c r="Q59" s="8" t="str">
        <f t="shared" si="0"/>
        <v>Q2</v>
      </c>
      <c r="R59" s="3">
        <f>Table14[[#This Row],[Revenue]]*25%</f>
        <v>161.285</v>
      </c>
      <c r="S59" s="3">
        <f t="shared" si="1"/>
        <v>116.12519999999999</v>
      </c>
      <c r="T59" s="14">
        <f t="shared" si="2"/>
        <v>529.01480000000004</v>
      </c>
      <c r="U59" s="3" t="str">
        <f t="array" ref="U59">_xlfn.IFS(Table14[[#This Row],[Revenue]]&gt;10000,"High",AND(Table14[[#This Row],[Revenue]]&gt;=5000,Table14[[#This Row],[Revenue]]&lt;=10000),"Medium",Table14[[#This Row],[Revenue]]&lt;5000,"Low")</f>
        <v>Low</v>
      </c>
      <c r="V59" s="3"/>
    </row>
    <row r="60" spans="1:22" x14ac:dyDescent="0.35">
      <c r="A60" s="8">
        <v>1063</v>
      </c>
      <c r="B60" s="2">
        <v>45764</v>
      </c>
      <c r="C60" t="s">
        <v>14</v>
      </c>
      <c r="D60" t="s">
        <v>47</v>
      </c>
      <c r="E60" t="s">
        <v>59</v>
      </c>
      <c r="F60" t="s">
        <v>24</v>
      </c>
      <c r="G60" t="s">
        <v>63</v>
      </c>
      <c r="H60" s="8">
        <v>6</v>
      </c>
      <c r="I60" s="8">
        <v>618.25</v>
      </c>
      <c r="J60" s="8">
        <v>0.1</v>
      </c>
      <c r="K60" s="14">
        <v>3338.55</v>
      </c>
      <c r="L60" t="s">
        <v>35</v>
      </c>
      <c r="M60" t="s">
        <v>20</v>
      </c>
      <c r="N60" s="14">
        <f>Table14[[#This Row],[Quantity]]*Table14[[#This Row],[UnitPrice]]*(1-Table14[[#This Row],[Discount]])</f>
        <v>3338.55</v>
      </c>
      <c r="O60" s="8">
        <f>YEAR(Table14[[#This Row],[OrderDate]])</f>
        <v>2025</v>
      </c>
      <c r="P60" s="8" t="str">
        <f>TEXT(Table14[[#This Row],[OrderDate]],"mmmm")</f>
        <v>April</v>
      </c>
      <c r="Q60" s="8" t="str">
        <f t="shared" si="0"/>
        <v>Q2</v>
      </c>
      <c r="R60" s="3">
        <f>Table14[[#This Row],[Revenue]]*25%</f>
        <v>834.63750000000005</v>
      </c>
      <c r="S60" s="3">
        <f t="shared" si="1"/>
        <v>600.93899999999996</v>
      </c>
      <c r="T60" s="14">
        <f t="shared" si="2"/>
        <v>2737.6110000000003</v>
      </c>
      <c r="U60" s="3" t="str">
        <f t="array" ref="U60">_xlfn.IFS(Table14[[#This Row],[Revenue]]&gt;10000,"High",AND(Table14[[#This Row],[Revenue]]&gt;=5000,Table14[[#This Row],[Revenue]]&lt;=10000),"Medium",Table14[[#This Row],[Revenue]]&lt;5000,"Low")</f>
        <v>Low</v>
      </c>
      <c r="V60" s="3"/>
    </row>
    <row r="61" spans="1:22" x14ac:dyDescent="0.35">
      <c r="A61" s="8">
        <v>1216</v>
      </c>
      <c r="B61" s="2">
        <v>45764</v>
      </c>
      <c r="C61" t="s">
        <v>27</v>
      </c>
      <c r="D61" t="s">
        <v>31</v>
      </c>
      <c r="E61" t="s">
        <v>56</v>
      </c>
      <c r="F61" t="s">
        <v>33</v>
      </c>
      <c r="G61" t="s">
        <v>34</v>
      </c>
      <c r="H61" s="8">
        <v>14</v>
      </c>
      <c r="I61" s="8">
        <v>904.51</v>
      </c>
      <c r="J61" s="8">
        <v>0.15</v>
      </c>
      <c r="K61" s="14">
        <v>10763.67</v>
      </c>
      <c r="L61" t="s">
        <v>39</v>
      </c>
      <c r="M61" t="s">
        <v>20</v>
      </c>
      <c r="N61" s="14">
        <f>Table14[[#This Row],[Quantity]]*Table14[[#This Row],[UnitPrice]]*(1-Table14[[#This Row],[Discount]])</f>
        <v>10763.669</v>
      </c>
      <c r="O61" s="8">
        <f>YEAR(Table14[[#This Row],[OrderDate]])</f>
        <v>2025</v>
      </c>
      <c r="P61" s="8" t="str">
        <f>TEXT(Table14[[#This Row],[OrderDate]],"mmmm")</f>
        <v>April</v>
      </c>
      <c r="Q61" s="8" t="str">
        <f t="shared" si="0"/>
        <v>Q2</v>
      </c>
      <c r="R61" s="3">
        <f>Table14[[#This Row],[Revenue]]*25%</f>
        <v>2690.9175</v>
      </c>
      <c r="S61" s="3">
        <f t="shared" si="1"/>
        <v>1937.4605999999999</v>
      </c>
      <c r="T61" s="14">
        <f t="shared" si="2"/>
        <v>8826.2093999999997</v>
      </c>
      <c r="U61" s="3" t="str">
        <f t="array" ref="U61">_xlfn.IFS(Table14[[#This Row],[Revenue]]&gt;10000,"High",AND(Table14[[#This Row],[Revenue]]&gt;=5000,Table14[[#This Row],[Revenue]]&lt;=10000),"Medium",Table14[[#This Row],[Revenue]]&lt;5000,"Low")</f>
        <v>High</v>
      </c>
      <c r="V61" s="3"/>
    </row>
    <row r="62" spans="1:22" x14ac:dyDescent="0.35">
      <c r="A62" s="8">
        <v>1088</v>
      </c>
      <c r="B62" s="2">
        <v>45765</v>
      </c>
      <c r="C62" t="s">
        <v>27</v>
      </c>
      <c r="D62" t="s">
        <v>54</v>
      </c>
      <c r="E62" t="s">
        <v>50</v>
      </c>
      <c r="F62" t="s">
        <v>24</v>
      </c>
      <c r="G62" t="s">
        <v>38</v>
      </c>
      <c r="H62" s="8">
        <v>11</v>
      </c>
      <c r="I62" s="8">
        <v>966.5</v>
      </c>
      <c r="J62" s="8">
        <v>0</v>
      </c>
      <c r="K62" s="14">
        <v>10631.5</v>
      </c>
      <c r="L62" t="s">
        <v>19</v>
      </c>
      <c r="M62" t="s">
        <v>20</v>
      </c>
      <c r="N62" s="14">
        <f>Table14[[#This Row],[Quantity]]*Table14[[#This Row],[UnitPrice]]*(1-Table14[[#This Row],[Discount]])</f>
        <v>10631.5</v>
      </c>
      <c r="O62" s="8">
        <f>YEAR(Table14[[#This Row],[OrderDate]])</f>
        <v>2025</v>
      </c>
      <c r="P62" s="8" t="str">
        <f>TEXT(Table14[[#This Row],[OrderDate]],"mmmm")</f>
        <v>April</v>
      </c>
      <c r="Q62" s="8" t="str">
        <f t="shared" si="0"/>
        <v>Q2</v>
      </c>
      <c r="R62" s="3">
        <f>Table14[[#This Row],[Revenue]]*25%</f>
        <v>2657.875</v>
      </c>
      <c r="S62" s="3">
        <f t="shared" si="1"/>
        <v>1913.6699999999998</v>
      </c>
      <c r="T62" s="14">
        <f t="shared" si="2"/>
        <v>8717.83</v>
      </c>
      <c r="U62" s="3" t="str">
        <f t="array" ref="U62">_xlfn.IFS(Table14[[#This Row],[Revenue]]&gt;10000,"High",AND(Table14[[#This Row],[Revenue]]&gt;=5000,Table14[[#This Row],[Revenue]]&lt;=10000),"Medium",Table14[[#This Row],[Revenue]]&lt;5000,"Low")</f>
        <v>High</v>
      </c>
      <c r="V62" s="3"/>
    </row>
    <row r="63" spans="1:22" x14ac:dyDescent="0.35">
      <c r="A63" s="8">
        <v>1183</v>
      </c>
      <c r="B63" s="2">
        <v>45767</v>
      </c>
      <c r="C63" t="s">
        <v>14</v>
      </c>
      <c r="D63" t="s">
        <v>47</v>
      </c>
      <c r="E63" t="s">
        <v>84</v>
      </c>
      <c r="F63" t="s">
        <v>33</v>
      </c>
      <c r="G63" t="s">
        <v>34</v>
      </c>
      <c r="H63" s="8">
        <v>1</v>
      </c>
      <c r="I63" s="8">
        <v>1039.8</v>
      </c>
      <c r="J63" s="8">
        <v>0.15</v>
      </c>
      <c r="K63" s="14">
        <v>883.83</v>
      </c>
      <c r="L63" t="s">
        <v>39</v>
      </c>
      <c r="M63" t="s">
        <v>26</v>
      </c>
      <c r="N63" s="14">
        <f>Table14[[#This Row],[Quantity]]*Table14[[#This Row],[UnitPrice]]*(1-Table14[[#This Row],[Discount]])</f>
        <v>883.82999999999993</v>
      </c>
      <c r="O63" s="8">
        <f>YEAR(Table14[[#This Row],[OrderDate]])</f>
        <v>2025</v>
      </c>
      <c r="P63" s="8" t="str">
        <f>TEXT(Table14[[#This Row],[OrderDate]],"mmmm")</f>
        <v>April</v>
      </c>
      <c r="Q63" s="8" t="str">
        <f t="shared" si="0"/>
        <v>Q2</v>
      </c>
      <c r="R63" s="3">
        <f>Table14[[#This Row],[Revenue]]*25%</f>
        <v>220.95750000000001</v>
      </c>
      <c r="S63" s="3">
        <f t="shared" si="1"/>
        <v>159.08940000000001</v>
      </c>
      <c r="T63" s="14">
        <f t="shared" si="2"/>
        <v>724.74060000000009</v>
      </c>
      <c r="U63" s="3" t="str">
        <f t="array" ref="U63">_xlfn.IFS(Table14[[#This Row],[Revenue]]&gt;10000,"High",AND(Table14[[#This Row],[Revenue]]&gt;=5000,Table14[[#This Row],[Revenue]]&lt;=10000),"Medium",Table14[[#This Row],[Revenue]]&lt;5000,"Low")</f>
        <v>Low</v>
      </c>
      <c r="V63" s="3"/>
    </row>
    <row r="64" spans="1:22" x14ac:dyDescent="0.35">
      <c r="A64" s="8">
        <v>1159</v>
      </c>
      <c r="B64" s="2">
        <v>45768</v>
      </c>
      <c r="C64" t="s">
        <v>21</v>
      </c>
      <c r="D64" t="s">
        <v>22</v>
      </c>
      <c r="E64" t="s">
        <v>85</v>
      </c>
      <c r="F64" t="s">
        <v>17</v>
      </c>
      <c r="G64" t="s">
        <v>46</v>
      </c>
      <c r="H64" s="8">
        <v>5</v>
      </c>
      <c r="I64" s="8">
        <v>682.4</v>
      </c>
      <c r="J64" s="8">
        <v>0.05</v>
      </c>
      <c r="K64" s="14">
        <v>3241.4</v>
      </c>
      <c r="L64" t="s">
        <v>35</v>
      </c>
      <c r="M64" t="s">
        <v>26</v>
      </c>
      <c r="N64" s="14">
        <f>Table14[[#This Row],[Quantity]]*Table14[[#This Row],[UnitPrice]]*(1-Table14[[#This Row],[Discount]])</f>
        <v>3241.3999999999996</v>
      </c>
      <c r="O64" s="8">
        <f>YEAR(Table14[[#This Row],[OrderDate]])</f>
        <v>2025</v>
      </c>
      <c r="P64" s="8" t="str">
        <f>TEXT(Table14[[#This Row],[OrderDate]],"mmmm")</f>
        <v>April</v>
      </c>
      <c r="Q64" s="8" t="str">
        <f t="shared" si="0"/>
        <v>Q2</v>
      </c>
      <c r="R64" s="3">
        <f>Table14[[#This Row],[Revenue]]*25%</f>
        <v>810.35</v>
      </c>
      <c r="S64" s="3">
        <f t="shared" si="1"/>
        <v>583.452</v>
      </c>
      <c r="T64" s="14">
        <f t="shared" si="2"/>
        <v>2657.9480000000003</v>
      </c>
      <c r="U64" s="3" t="str">
        <f t="array" ref="U64">_xlfn.IFS(Table14[[#This Row],[Revenue]]&gt;10000,"High",AND(Table14[[#This Row],[Revenue]]&gt;=5000,Table14[[#This Row],[Revenue]]&lt;=10000),"Medium",Table14[[#This Row],[Revenue]]&lt;5000,"Low")</f>
        <v>Low</v>
      </c>
      <c r="V64" s="3"/>
    </row>
    <row r="65" spans="1:22" x14ac:dyDescent="0.35">
      <c r="A65" s="8">
        <v>1048</v>
      </c>
      <c r="B65" s="2">
        <v>45769</v>
      </c>
      <c r="C65" t="s">
        <v>27</v>
      </c>
      <c r="D65" t="s">
        <v>47</v>
      </c>
      <c r="E65" t="s">
        <v>86</v>
      </c>
      <c r="F65" t="s">
        <v>33</v>
      </c>
      <c r="G65" t="s">
        <v>34</v>
      </c>
      <c r="H65" s="8">
        <v>14</v>
      </c>
      <c r="I65" s="8">
        <v>766.3</v>
      </c>
      <c r="J65" s="8">
        <v>0</v>
      </c>
      <c r="K65" s="14">
        <v>10728.2</v>
      </c>
      <c r="L65" t="s">
        <v>19</v>
      </c>
      <c r="M65" t="s">
        <v>26</v>
      </c>
      <c r="N65" s="14">
        <f>Table14[[#This Row],[Quantity]]*Table14[[#This Row],[UnitPrice]]*(1-Table14[[#This Row],[Discount]])</f>
        <v>10728.199999999999</v>
      </c>
      <c r="O65" s="8">
        <f>YEAR(Table14[[#This Row],[OrderDate]])</f>
        <v>2025</v>
      </c>
      <c r="P65" s="8" t="str">
        <f>TEXT(Table14[[#This Row],[OrderDate]],"mmmm")</f>
        <v>April</v>
      </c>
      <c r="Q65" s="8" t="str">
        <f t="shared" si="0"/>
        <v>Q2</v>
      </c>
      <c r="R65" s="3">
        <f>Table14[[#This Row],[Revenue]]*25%</f>
        <v>2682.05</v>
      </c>
      <c r="S65" s="3">
        <f t="shared" si="1"/>
        <v>1931.076</v>
      </c>
      <c r="T65" s="14">
        <f t="shared" si="2"/>
        <v>8797.1239999999998</v>
      </c>
      <c r="U65" s="3" t="str">
        <f t="array" ref="U65">_xlfn.IFS(Table14[[#This Row],[Revenue]]&gt;10000,"High",AND(Table14[[#This Row],[Revenue]]&gt;=5000,Table14[[#This Row],[Revenue]]&lt;=10000),"Medium",Table14[[#This Row],[Revenue]]&lt;5000,"Low")</f>
        <v>High</v>
      </c>
      <c r="V65" s="3"/>
    </row>
    <row r="66" spans="1:22" x14ac:dyDescent="0.35">
      <c r="A66" s="8">
        <v>1215</v>
      </c>
      <c r="B66" s="2">
        <v>45770</v>
      </c>
      <c r="C66" t="s">
        <v>14</v>
      </c>
      <c r="D66" t="s">
        <v>15</v>
      </c>
      <c r="E66" t="s">
        <v>65</v>
      </c>
      <c r="F66" t="s">
        <v>33</v>
      </c>
      <c r="G66" t="s">
        <v>61</v>
      </c>
      <c r="H66" s="8">
        <v>10</v>
      </c>
      <c r="I66" s="8">
        <v>79.92</v>
      </c>
      <c r="J66" s="8">
        <v>0.1</v>
      </c>
      <c r="K66" s="14">
        <v>719.28</v>
      </c>
      <c r="L66" t="s">
        <v>19</v>
      </c>
      <c r="M66" t="s">
        <v>20</v>
      </c>
      <c r="N66" s="14">
        <f>Table14[[#This Row],[Quantity]]*Table14[[#This Row],[UnitPrice]]*(1-Table14[[#This Row],[Discount]])</f>
        <v>719.28000000000009</v>
      </c>
      <c r="O66" s="8">
        <f>YEAR(Table14[[#This Row],[OrderDate]])</f>
        <v>2025</v>
      </c>
      <c r="P66" s="8" t="str">
        <f>TEXT(Table14[[#This Row],[OrderDate]],"mmmm")</f>
        <v>April</v>
      </c>
      <c r="Q66" s="8" t="str">
        <f t="shared" ref="Q66:Q129" si="3">"Q"&amp;ROUNDUP(MONTH(B66)/3,0)</f>
        <v>Q2</v>
      </c>
      <c r="R66" s="3">
        <f>Table14[[#This Row],[Revenue]]*25%</f>
        <v>179.82</v>
      </c>
      <c r="S66" s="3">
        <f t="shared" ref="S66:S129" si="4">K66*18%</f>
        <v>129.47039999999998</v>
      </c>
      <c r="T66" s="14">
        <f t="shared" ref="T66:T129" si="5">K66-S66</f>
        <v>589.80960000000005</v>
      </c>
      <c r="U66" s="3" t="str">
        <f t="array" ref="U66">_xlfn.IFS(Table14[[#This Row],[Revenue]]&gt;10000,"High",AND(Table14[[#This Row],[Revenue]]&gt;=5000,Table14[[#This Row],[Revenue]]&lt;=10000),"Medium",Table14[[#This Row],[Revenue]]&lt;5000,"Low")</f>
        <v>Low</v>
      </c>
      <c r="V66" s="3"/>
    </row>
    <row r="67" spans="1:22" x14ac:dyDescent="0.35">
      <c r="A67" s="8">
        <v>1010</v>
      </c>
      <c r="B67" s="2">
        <v>45771</v>
      </c>
      <c r="C67" t="s">
        <v>14</v>
      </c>
      <c r="D67" t="s">
        <v>31</v>
      </c>
      <c r="E67" t="s">
        <v>87</v>
      </c>
      <c r="F67" t="s">
        <v>24</v>
      </c>
      <c r="G67" t="s">
        <v>63</v>
      </c>
      <c r="H67" s="8">
        <v>2</v>
      </c>
      <c r="I67" s="8">
        <v>759.34</v>
      </c>
      <c r="J67" s="8">
        <v>0.05</v>
      </c>
      <c r="K67" s="14">
        <v>1442.75</v>
      </c>
      <c r="L67" t="s">
        <v>19</v>
      </c>
      <c r="M67" t="s">
        <v>36</v>
      </c>
      <c r="N67" s="14">
        <f>Table14[[#This Row],[Quantity]]*Table14[[#This Row],[UnitPrice]]*(1-Table14[[#This Row],[Discount]])</f>
        <v>1442.7460000000001</v>
      </c>
      <c r="O67" s="8">
        <f>YEAR(Table14[[#This Row],[OrderDate]])</f>
        <v>2025</v>
      </c>
      <c r="P67" s="8" t="str">
        <f>TEXT(Table14[[#This Row],[OrderDate]],"mmmm")</f>
        <v>April</v>
      </c>
      <c r="Q67" s="8" t="str">
        <f t="shared" si="3"/>
        <v>Q2</v>
      </c>
      <c r="R67" s="3">
        <f>Table14[[#This Row],[Revenue]]*25%</f>
        <v>360.6875</v>
      </c>
      <c r="S67" s="3">
        <f t="shared" si="4"/>
        <v>259.69499999999999</v>
      </c>
      <c r="T67" s="14">
        <f t="shared" si="5"/>
        <v>1183.0550000000001</v>
      </c>
      <c r="U67" s="3" t="str">
        <f t="array" ref="U67">_xlfn.IFS(Table14[[#This Row],[Revenue]]&gt;10000,"High",AND(Table14[[#This Row],[Revenue]]&gt;=5000,Table14[[#This Row],[Revenue]]&lt;=10000),"Medium",Table14[[#This Row],[Revenue]]&lt;5000,"Low")</f>
        <v>Low</v>
      </c>
      <c r="V67" s="3"/>
    </row>
    <row r="68" spans="1:22" x14ac:dyDescent="0.35">
      <c r="A68" s="8">
        <v>1028</v>
      </c>
      <c r="B68" s="2">
        <v>45775</v>
      </c>
      <c r="C68" t="s">
        <v>14</v>
      </c>
      <c r="D68" t="s">
        <v>15</v>
      </c>
      <c r="E68" t="s">
        <v>40</v>
      </c>
      <c r="F68" t="s">
        <v>33</v>
      </c>
      <c r="G68" t="s">
        <v>34</v>
      </c>
      <c r="H68" s="8">
        <v>11</v>
      </c>
      <c r="I68" s="8">
        <v>505.67</v>
      </c>
      <c r="J68" s="8">
        <v>0.15</v>
      </c>
      <c r="K68" s="14">
        <v>4728.01</v>
      </c>
      <c r="L68" t="s">
        <v>39</v>
      </c>
      <c r="M68" t="s">
        <v>26</v>
      </c>
      <c r="N68" s="14">
        <f>Table14[[#This Row],[Quantity]]*Table14[[#This Row],[UnitPrice]]*(1-Table14[[#This Row],[Discount]])</f>
        <v>4728.0145000000002</v>
      </c>
      <c r="O68" s="8">
        <f>YEAR(Table14[[#This Row],[OrderDate]])</f>
        <v>2025</v>
      </c>
      <c r="P68" s="8" t="str">
        <f>TEXT(Table14[[#This Row],[OrderDate]],"mmmm")</f>
        <v>April</v>
      </c>
      <c r="Q68" s="8" t="str">
        <f t="shared" si="3"/>
        <v>Q2</v>
      </c>
      <c r="R68" s="3">
        <f>Table14[[#This Row],[Revenue]]*25%</f>
        <v>1182.0025000000001</v>
      </c>
      <c r="S68" s="3">
        <f t="shared" si="4"/>
        <v>851.04179999999997</v>
      </c>
      <c r="T68" s="14">
        <f t="shared" si="5"/>
        <v>3876.9682000000003</v>
      </c>
      <c r="U68" s="3" t="str">
        <f t="array" ref="U68">_xlfn.IFS(Table14[[#This Row],[Revenue]]&gt;10000,"High",AND(Table14[[#This Row],[Revenue]]&gt;=5000,Table14[[#This Row],[Revenue]]&lt;=10000),"Medium",Table14[[#This Row],[Revenue]]&lt;5000,"Low")</f>
        <v>Low</v>
      </c>
      <c r="V68" s="3"/>
    </row>
    <row r="69" spans="1:22" x14ac:dyDescent="0.35">
      <c r="A69" s="8">
        <v>1117</v>
      </c>
      <c r="B69" s="2">
        <v>45775</v>
      </c>
      <c r="C69" t="s">
        <v>14</v>
      </c>
      <c r="D69" t="s">
        <v>15</v>
      </c>
      <c r="E69" t="s">
        <v>41</v>
      </c>
      <c r="F69" t="s">
        <v>17</v>
      </c>
      <c r="G69" t="s">
        <v>30</v>
      </c>
      <c r="H69" s="8">
        <v>10</v>
      </c>
      <c r="I69" s="8">
        <v>727.41</v>
      </c>
      <c r="J69" s="8">
        <v>0.15</v>
      </c>
      <c r="K69" s="14">
        <v>6182.98</v>
      </c>
      <c r="L69" t="s">
        <v>19</v>
      </c>
      <c r="M69" t="s">
        <v>26</v>
      </c>
      <c r="N69" s="14">
        <f>Table14[[#This Row],[Quantity]]*Table14[[#This Row],[UnitPrice]]*(1-Table14[[#This Row],[Discount]])</f>
        <v>6182.9849999999997</v>
      </c>
      <c r="O69" s="8">
        <f>YEAR(Table14[[#This Row],[OrderDate]])</f>
        <v>2025</v>
      </c>
      <c r="P69" s="8" t="str">
        <f>TEXT(Table14[[#This Row],[OrderDate]],"mmmm")</f>
        <v>April</v>
      </c>
      <c r="Q69" s="8" t="str">
        <f t="shared" si="3"/>
        <v>Q2</v>
      </c>
      <c r="R69" s="3">
        <f>Table14[[#This Row],[Revenue]]*25%</f>
        <v>1545.7449999999999</v>
      </c>
      <c r="S69" s="3">
        <f t="shared" si="4"/>
        <v>1112.9363999999998</v>
      </c>
      <c r="T69" s="14">
        <f t="shared" si="5"/>
        <v>5070.0436</v>
      </c>
      <c r="U69" s="3" t="str">
        <f t="array" ref="U69">_xlfn.IFS(Table14[[#This Row],[Revenue]]&gt;10000,"High",AND(Table14[[#This Row],[Revenue]]&gt;=5000,Table14[[#This Row],[Revenue]]&lt;=10000),"Medium",Table14[[#This Row],[Revenue]]&lt;5000,"Low")</f>
        <v>Medium</v>
      </c>
      <c r="V69" s="3"/>
    </row>
    <row r="70" spans="1:22" x14ac:dyDescent="0.35">
      <c r="A70" s="8">
        <v>1198</v>
      </c>
      <c r="B70" s="2">
        <v>45775</v>
      </c>
      <c r="C70" t="s">
        <v>27</v>
      </c>
      <c r="D70" t="s">
        <v>31</v>
      </c>
      <c r="E70" t="s">
        <v>32</v>
      </c>
      <c r="F70" t="s">
        <v>17</v>
      </c>
      <c r="G70" t="s">
        <v>18</v>
      </c>
      <c r="H70" s="8">
        <v>11</v>
      </c>
      <c r="I70" s="8">
        <v>1087.1199999999999</v>
      </c>
      <c r="J70" s="8">
        <v>0</v>
      </c>
      <c r="K70" s="14">
        <v>11958.32</v>
      </c>
      <c r="L70" t="s">
        <v>39</v>
      </c>
      <c r="M70" t="s">
        <v>36</v>
      </c>
      <c r="N70" s="14">
        <f>Table14[[#This Row],[Quantity]]*Table14[[#This Row],[UnitPrice]]*(1-Table14[[#This Row],[Discount]])</f>
        <v>11958.32</v>
      </c>
      <c r="O70" s="8">
        <f>YEAR(Table14[[#This Row],[OrderDate]])</f>
        <v>2025</v>
      </c>
      <c r="P70" s="8" t="str">
        <f>TEXT(Table14[[#This Row],[OrderDate]],"mmmm")</f>
        <v>April</v>
      </c>
      <c r="Q70" s="8" t="str">
        <f t="shared" si="3"/>
        <v>Q2</v>
      </c>
      <c r="R70" s="3">
        <f>Table14[[#This Row],[Revenue]]*25%</f>
        <v>2989.58</v>
      </c>
      <c r="S70" s="3">
        <f t="shared" si="4"/>
        <v>2152.4975999999997</v>
      </c>
      <c r="T70" s="14">
        <f t="shared" si="5"/>
        <v>9805.8224000000009</v>
      </c>
      <c r="U70" s="3" t="str">
        <f t="array" ref="U70">_xlfn.IFS(Table14[[#This Row],[Revenue]]&gt;10000,"High",AND(Table14[[#This Row],[Revenue]]&gt;=5000,Table14[[#This Row],[Revenue]]&lt;=10000),"Medium",Table14[[#This Row],[Revenue]]&lt;5000,"Low")</f>
        <v>High</v>
      </c>
      <c r="V70" s="3"/>
    </row>
    <row r="71" spans="1:22" x14ac:dyDescent="0.35">
      <c r="A71" s="8">
        <v>1039</v>
      </c>
      <c r="B71" s="2">
        <v>45777</v>
      </c>
      <c r="C71" t="s">
        <v>14</v>
      </c>
      <c r="D71" t="s">
        <v>31</v>
      </c>
      <c r="E71" t="s">
        <v>70</v>
      </c>
      <c r="F71" t="s">
        <v>24</v>
      </c>
      <c r="G71" t="s">
        <v>63</v>
      </c>
      <c r="H71" s="8">
        <v>2</v>
      </c>
      <c r="I71" s="8">
        <v>999</v>
      </c>
      <c r="J71" s="8">
        <v>0.05</v>
      </c>
      <c r="K71" s="14">
        <v>2242.6999999999998</v>
      </c>
      <c r="L71" t="s">
        <v>35</v>
      </c>
      <c r="M71" t="s">
        <v>20</v>
      </c>
      <c r="N71" s="14">
        <f>Table14[[#This Row],[Quantity]]*Table14[[#This Row],[UnitPrice]]*(1-Table14[[#This Row],[Discount]])</f>
        <v>1898.1</v>
      </c>
      <c r="O71" s="8">
        <f>YEAR(Table14[[#This Row],[OrderDate]])</f>
        <v>2025</v>
      </c>
      <c r="P71" s="8" t="str">
        <f>TEXT(Table14[[#This Row],[OrderDate]],"mmmm")</f>
        <v>April</v>
      </c>
      <c r="Q71" s="8" t="str">
        <f t="shared" si="3"/>
        <v>Q2</v>
      </c>
      <c r="R71" s="3">
        <f>Table14[[#This Row],[Revenue]]*25%</f>
        <v>560.67499999999995</v>
      </c>
      <c r="S71" s="3">
        <f t="shared" si="4"/>
        <v>403.68599999999998</v>
      </c>
      <c r="T71" s="14">
        <f t="shared" si="5"/>
        <v>1839.0139999999999</v>
      </c>
      <c r="U71" s="3" t="str">
        <f t="array" ref="U71">_xlfn.IFS(Table14[[#This Row],[Revenue]]&gt;10000,"High",AND(Table14[[#This Row],[Revenue]]&gt;=5000,Table14[[#This Row],[Revenue]]&lt;=10000),"Medium",Table14[[#This Row],[Revenue]]&lt;5000,"Low")</f>
        <v>Low</v>
      </c>
      <c r="V71" s="3"/>
    </row>
    <row r="72" spans="1:22" x14ac:dyDescent="0.35">
      <c r="A72" s="8">
        <v>1176</v>
      </c>
      <c r="B72" s="2">
        <v>45780</v>
      </c>
      <c r="C72" t="s">
        <v>21</v>
      </c>
      <c r="D72" t="s">
        <v>15</v>
      </c>
      <c r="E72" t="s">
        <v>32</v>
      </c>
      <c r="F72" t="s">
        <v>33</v>
      </c>
      <c r="G72" t="s">
        <v>53</v>
      </c>
      <c r="H72" s="8">
        <v>3</v>
      </c>
      <c r="I72" s="8">
        <v>729.99</v>
      </c>
      <c r="J72" s="8">
        <v>0.15</v>
      </c>
      <c r="K72" s="14">
        <v>1861.47</v>
      </c>
      <c r="L72" t="s">
        <v>35</v>
      </c>
      <c r="M72" t="s">
        <v>36</v>
      </c>
      <c r="N72" s="14">
        <f>Table14[[#This Row],[Quantity]]*Table14[[#This Row],[UnitPrice]]*(1-Table14[[#This Row],[Discount]])</f>
        <v>1861.4745000000003</v>
      </c>
      <c r="O72" s="8">
        <f>YEAR(Table14[[#This Row],[OrderDate]])</f>
        <v>2025</v>
      </c>
      <c r="P72" s="8" t="str">
        <f>TEXT(Table14[[#This Row],[OrderDate]],"mmmm")</f>
        <v>May</v>
      </c>
      <c r="Q72" s="8" t="str">
        <f t="shared" si="3"/>
        <v>Q2</v>
      </c>
      <c r="R72" s="3">
        <f>Table14[[#This Row],[Revenue]]*25%</f>
        <v>465.36750000000001</v>
      </c>
      <c r="S72" s="3">
        <f t="shared" si="4"/>
        <v>335.06459999999998</v>
      </c>
      <c r="T72" s="14">
        <f t="shared" si="5"/>
        <v>1526.4054000000001</v>
      </c>
      <c r="U72" s="3" t="str">
        <f t="array" ref="U72">_xlfn.IFS(Table14[[#This Row],[Revenue]]&gt;10000,"High",AND(Table14[[#This Row],[Revenue]]&gt;=5000,Table14[[#This Row],[Revenue]]&lt;=10000),"Medium",Table14[[#This Row],[Revenue]]&lt;5000,"Low")</f>
        <v>Low</v>
      </c>
      <c r="V72" s="3"/>
    </row>
    <row r="73" spans="1:22" x14ac:dyDescent="0.35">
      <c r="A73" s="8">
        <v>1098</v>
      </c>
      <c r="B73" s="2">
        <v>45781</v>
      </c>
      <c r="C73" t="s">
        <v>27</v>
      </c>
      <c r="D73" t="s">
        <v>15</v>
      </c>
      <c r="E73" t="s">
        <v>88</v>
      </c>
      <c r="F73" t="s">
        <v>17</v>
      </c>
      <c r="G73" t="s">
        <v>18</v>
      </c>
      <c r="H73" s="8">
        <v>2</v>
      </c>
      <c r="I73" s="8">
        <v>701.36</v>
      </c>
      <c r="J73" s="8">
        <v>0.1</v>
      </c>
      <c r="K73" s="14">
        <v>1262.45</v>
      </c>
      <c r="L73" t="s">
        <v>19</v>
      </c>
      <c r="M73" t="s">
        <v>20</v>
      </c>
      <c r="N73" s="14">
        <f>Table14[[#This Row],[Quantity]]*Table14[[#This Row],[UnitPrice]]*(1-Table14[[#This Row],[Discount]])</f>
        <v>1262.4480000000001</v>
      </c>
      <c r="O73" s="8">
        <f>YEAR(Table14[[#This Row],[OrderDate]])</f>
        <v>2025</v>
      </c>
      <c r="P73" s="8" t="str">
        <f>TEXT(Table14[[#This Row],[OrderDate]],"mmmm")</f>
        <v>May</v>
      </c>
      <c r="Q73" s="8" t="str">
        <f t="shared" si="3"/>
        <v>Q2</v>
      </c>
      <c r="R73" s="3">
        <f>Table14[[#This Row],[Revenue]]*25%</f>
        <v>315.61250000000001</v>
      </c>
      <c r="S73" s="3">
        <f t="shared" si="4"/>
        <v>227.24100000000001</v>
      </c>
      <c r="T73" s="14">
        <f t="shared" si="5"/>
        <v>1035.2090000000001</v>
      </c>
      <c r="U73" s="3" t="str">
        <f t="array" ref="U73">_xlfn.IFS(Table14[[#This Row],[Revenue]]&gt;10000,"High",AND(Table14[[#This Row],[Revenue]]&gt;=5000,Table14[[#This Row],[Revenue]]&lt;=10000),"Medium",Table14[[#This Row],[Revenue]]&lt;5000,"Low")</f>
        <v>Low</v>
      </c>
      <c r="V73" s="3"/>
    </row>
    <row r="74" spans="1:22" x14ac:dyDescent="0.35">
      <c r="A74" s="8">
        <v>1273</v>
      </c>
      <c r="B74" s="2">
        <v>45781</v>
      </c>
      <c r="C74" t="s">
        <v>14</v>
      </c>
      <c r="D74" t="s">
        <v>31</v>
      </c>
      <c r="E74" t="s">
        <v>89</v>
      </c>
      <c r="F74" t="s">
        <v>24</v>
      </c>
      <c r="G74" t="s">
        <v>38</v>
      </c>
      <c r="H74" s="8">
        <v>13</v>
      </c>
      <c r="I74" s="8">
        <v>447.82</v>
      </c>
      <c r="J74" s="8">
        <v>0.15</v>
      </c>
      <c r="K74" s="14">
        <v>4948.41</v>
      </c>
      <c r="L74" t="s">
        <v>39</v>
      </c>
      <c r="M74" t="s">
        <v>26</v>
      </c>
      <c r="N74" s="14">
        <f>Table14[[#This Row],[Quantity]]*Table14[[#This Row],[UnitPrice]]*(1-Table14[[#This Row],[Discount]])</f>
        <v>4948.4110000000001</v>
      </c>
      <c r="O74" s="8">
        <f>YEAR(Table14[[#This Row],[OrderDate]])</f>
        <v>2025</v>
      </c>
      <c r="P74" s="8" t="str">
        <f>TEXT(Table14[[#This Row],[OrderDate]],"mmmm")</f>
        <v>May</v>
      </c>
      <c r="Q74" s="8" t="str">
        <f t="shared" si="3"/>
        <v>Q2</v>
      </c>
      <c r="R74" s="3">
        <f>Table14[[#This Row],[Revenue]]*25%</f>
        <v>1237.1025</v>
      </c>
      <c r="S74" s="3">
        <f t="shared" si="4"/>
        <v>890.71379999999999</v>
      </c>
      <c r="T74" s="14">
        <f t="shared" si="5"/>
        <v>4057.6961999999999</v>
      </c>
      <c r="U74" s="3" t="str">
        <f t="array" ref="U74">_xlfn.IFS(Table14[[#This Row],[Revenue]]&gt;10000,"High",AND(Table14[[#This Row],[Revenue]]&gt;=5000,Table14[[#This Row],[Revenue]]&lt;=10000),"Medium",Table14[[#This Row],[Revenue]]&lt;5000,"Low")</f>
        <v>Low</v>
      </c>
      <c r="V74" s="3"/>
    </row>
    <row r="75" spans="1:22" x14ac:dyDescent="0.35">
      <c r="A75" s="8">
        <v>1138</v>
      </c>
      <c r="B75" s="2">
        <v>45783</v>
      </c>
      <c r="C75" t="s">
        <v>27</v>
      </c>
      <c r="D75" t="s">
        <v>31</v>
      </c>
      <c r="E75" t="s">
        <v>79</v>
      </c>
      <c r="F75" t="s">
        <v>17</v>
      </c>
      <c r="G75" t="s">
        <v>46</v>
      </c>
      <c r="H75" s="8">
        <v>4</v>
      </c>
      <c r="I75" s="8">
        <v>1071.3399999999999</v>
      </c>
      <c r="J75" s="8">
        <v>0.05</v>
      </c>
      <c r="K75" s="14">
        <v>4071.09</v>
      </c>
      <c r="L75" t="s">
        <v>35</v>
      </c>
      <c r="M75" t="s">
        <v>26</v>
      </c>
      <c r="N75" s="14">
        <f>Table14[[#This Row],[Quantity]]*Table14[[#This Row],[UnitPrice]]*(1-Table14[[#This Row],[Discount]])</f>
        <v>4071.0919999999996</v>
      </c>
      <c r="O75" s="8">
        <f>YEAR(Table14[[#This Row],[OrderDate]])</f>
        <v>2025</v>
      </c>
      <c r="P75" s="8" t="str">
        <f>TEXT(Table14[[#This Row],[OrderDate]],"mmmm")</f>
        <v>May</v>
      </c>
      <c r="Q75" s="8" t="str">
        <f t="shared" si="3"/>
        <v>Q2</v>
      </c>
      <c r="R75" s="3">
        <f>Table14[[#This Row],[Revenue]]*25%</f>
        <v>1017.7725</v>
      </c>
      <c r="S75" s="3">
        <f t="shared" si="4"/>
        <v>732.7962</v>
      </c>
      <c r="T75" s="14">
        <f t="shared" si="5"/>
        <v>3338.2938000000004</v>
      </c>
      <c r="U75" s="3" t="str">
        <f t="array" ref="U75">_xlfn.IFS(Table14[[#This Row],[Revenue]]&gt;10000,"High",AND(Table14[[#This Row],[Revenue]]&gt;=5000,Table14[[#This Row],[Revenue]]&lt;=10000),"Medium",Table14[[#This Row],[Revenue]]&lt;5000,"Low")</f>
        <v>Low</v>
      </c>
      <c r="V75" s="3"/>
    </row>
    <row r="76" spans="1:22" x14ac:dyDescent="0.35">
      <c r="A76" s="8">
        <v>1232</v>
      </c>
      <c r="B76" s="2">
        <v>45785</v>
      </c>
      <c r="C76" t="s">
        <v>21</v>
      </c>
      <c r="D76" t="s">
        <v>28</v>
      </c>
      <c r="E76" t="s">
        <v>52</v>
      </c>
      <c r="F76" t="s">
        <v>33</v>
      </c>
      <c r="G76" t="s">
        <v>34</v>
      </c>
      <c r="H76" s="8">
        <v>14</v>
      </c>
      <c r="I76" s="8">
        <v>579.27</v>
      </c>
      <c r="J76" s="8">
        <v>0.15</v>
      </c>
      <c r="K76" s="14">
        <v>6893.31</v>
      </c>
      <c r="L76" t="s">
        <v>35</v>
      </c>
      <c r="M76" t="s">
        <v>20</v>
      </c>
      <c r="N76" s="14">
        <f>Table14[[#This Row],[Quantity]]*Table14[[#This Row],[UnitPrice]]*(1-Table14[[#This Row],[Discount]])</f>
        <v>6893.3129999999992</v>
      </c>
      <c r="O76" s="8">
        <f>YEAR(Table14[[#This Row],[OrderDate]])</f>
        <v>2025</v>
      </c>
      <c r="P76" s="8" t="str">
        <f>TEXT(Table14[[#This Row],[OrderDate]],"mmmm")</f>
        <v>May</v>
      </c>
      <c r="Q76" s="8" t="str">
        <f t="shared" si="3"/>
        <v>Q2</v>
      </c>
      <c r="R76" s="3">
        <f>Table14[[#This Row],[Revenue]]*25%</f>
        <v>1723.3275000000001</v>
      </c>
      <c r="S76" s="3">
        <f t="shared" si="4"/>
        <v>1240.7958000000001</v>
      </c>
      <c r="T76" s="14">
        <f t="shared" si="5"/>
        <v>5652.5142000000005</v>
      </c>
      <c r="U76" s="3" t="str">
        <f t="array" ref="U76">_xlfn.IFS(Table14[[#This Row],[Revenue]]&gt;10000,"High",AND(Table14[[#This Row],[Revenue]]&gt;=5000,Table14[[#This Row],[Revenue]]&lt;=10000),"Medium",Table14[[#This Row],[Revenue]]&lt;5000,"Low")</f>
        <v>Medium</v>
      </c>
      <c r="V76" s="3"/>
    </row>
    <row r="77" spans="1:22" x14ac:dyDescent="0.35">
      <c r="A77" s="8">
        <v>1257</v>
      </c>
      <c r="B77" s="2">
        <v>45787</v>
      </c>
      <c r="C77" t="s">
        <v>43</v>
      </c>
      <c r="D77" t="s">
        <v>15</v>
      </c>
      <c r="E77" t="s">
        <v>81</v>
      </c>
      <c r="F77" t="s">
        <v>24</v>
      </c>
      <c r="G77" t="s">
        <v>38</v>
      </c>
      <c r="H77" s="8">
        <v>13</v>
      </c>
      <c r="I77" s="8">
        <v>574.36</v>
      </c>
      <c r="J77" s="8">
        <v>0.1</v>
      </c>
      <c r="K77" s="14">
        <v>6720.01</v>
      </c>
      <c r="L77" t="s">
        <v>19</v>
      </c>
      <c r="M77" t="s">
        <v>36</v>
      </c>
      <c r="N77" s="14">
        <f>Table14[[#This Row],[Quantity]]*Table14[[#This Row],[UnitPrice]]*(1-Table14[[#This Row],[Discount]])</f>
        <v>6720.0120000000006</v>
      </c>
      <c r="O77" s="8">
        <f>YEAR(Table14[[#This Row],[OrderDate]])</f>
        <v>2025</v>
      </c>
      <c r="P77" s="8" t="str">
        <f>TEXT(Table14[[#This Row],[OrderDate]],"mmmm")</f>
        <v>May</v>
      </c>
      <c r="Q77" s="8" t="str">
        <f t="shared" si="3"/>
        <v>Q2</v>
      </c>
      <c r="R77" s="3">
        <f>Table14[[#This Row],[Revenue]]*25%</f>
        <v>1680.0025000000001</v>
      </c>
      <c r="S77" s="3">
        <f t="shared" si="4"/>
        <v>1209.6017999999999</v>
      </c>
      <c r="T77" s="14">
        <f t="shared" si="5"/>
        <v>5510.4081999999999</v>
      </c>
      <c r="U77" s="3" t="str">
        <f t="array" ref="U77">_xlfn.IFS(Table14[[#This Row],[Revenue]]&gt;10000,"High",AND(Table14[[#This Row],[Revenue]]&gt;=5000,Table14[[#This Row],[Revenue]]&lt;=10000),"Medium",Table14[[#This Row],[Revenue]]&lt;5000,"Low")</f>
        <v>Medium</v>
      </c>
      <c r="V77" s="3"/>
    </row>
    <row r="78" spans="1:22" x14ac:dyDescent="0.35">
      <c r="A78" s="8">
        <v>1202</v>
      </c>
      <c r="B78" s="2">
        <v>45788</v>
      </c>
      <c r="C78" t="s">
        <v>43</v>
      </c>
      <c r="D78" t="s">
        <v>54</v>
      </c>
      <c r="E78" t="s">
        <v>72</v>
      </c>
      <c r="F78" t="s">
        <v>17</v>
      </c>
      <c r="G78" t="s">
        <v>18</v>
      </c>
      <c r="H78" s="8">
        <v>14</v>
      </c>
      <c r="I78" s="8">
        <v>413.43</v>
      </c>
      <c r="J78" s="8">
        <v>0.15</v>
      </c>
      <c r="K78" s="14">
        <v>4919.82</v>
      </c>
      <c r="L78" t="s">
        <v>35</v>
      </c>
      <c r="M78" t="s">
        <v>36</v>
      </c>
      <c r="N78" s="14">
        <f>Table14[[#This Row],[Quantity]]*Table14[[#This Row],[UnitPrice]]*(1-Table14[[#This Row],[Discount]])</f>
        <v>4919.817</v>
      </c>
      <c r="O78" s="8">
        <f>YEAR(Table14[[#This Row],[OrderDate]])</f>
        <v>2025</v>
      </c>
      <c r="P78" s="8" t="str">
        <f>TEXT(Table14[[#This Row],[OrderDate]],"mmmm")</f>
        <v>May</v>
      </c>
      <c r="Q78" s="8" t="str">
        <f t="shared" si="3"/>
        <v>Q2</v>
      </c>
      <c r="R78" s="3">
        <f>Table14[[#This Row],[Revenue]]*25%</f>
        <v>1229.9549999999999</v>
      </c>
      <c r="S78" s="3">
        <f t="shared" si="4"/>
        <v>885.56759999999997</v>
      </c>
      <c r="T78" s="14">
        <f t="shared" si="5"/>
        <v>4034.2523999999999</v>
      </c>
      <c r="U78" s="3" t="str">
        <f t="array" ref="U78">_xlfn.IFS(Table14[[#This Row],[Revenue]]&gt;10000,"High",AND(Table14[[#This Row],[Revenue]]&gt;=5000,Table14[[#This Row],[Revenue]]&lt;=10000),"Medium",Table14[[#This Row],[Revenue]]&lt;5000,"Low")</f>
        <v>Low</v>
      </c>
      <c r="V78" s="3"/>
    </row>
    <row r="79" spans="1:22" x14ac:dyDescent="0.35">
      <c r="A79" s="8">
        <v>1237</v>
      </c>
      <c r="B79" s="2">
        <v>45789</v>
      </c>
      <c r="C79" t="s">
        <v>21</v>
      </c>
      <c r="D79" t="s">
        <v>31</v>
      </c>
      <c r="E79" t="s">
        <v>55</v>
      </c>
      <c r="F79" t="s">
        <v>33</v>
      </c>
      <c r="G79" t="s">
        <v>34</v>
      </c>
      <c r="H79" s="8">
        <v>15</v>
      </c>
      <c r="I79" s="8">
        <v>522.66</v>
      </c>
      <c r="J79" s="8">
        <v>0.05</v>
      </c>
      <c r="K79" s="14">
        <v>7447.9</v>
      </c>
      <c r="L79" t="s">
        <v>19</v>
      </c>
      <c r="M79" t="s">
        <v>26</v>
      </c>
      <c r="N79" s="14">
        <f>Table14[[#This Row],[Quantity]]*Table14[[#This Row],[UnitPrice]]*(1-Table14[[#This Row],[Discount]])</f>
        <v>7447.9049999999997</v>
      </c>
      <c r="O79" s="8">
        <f>YEAR(Table14[[#This Row],[OrderDate]])</f>
        <v>2025</v>
      </c>
      <c r="P79" s="8" t="str">
        <f>TEXT(Table14[[#This Row],[OrderDate]],"mmmm")</f>
        <v>May</v>
      </c>
      <c r="Q79" s="8" t="str">
        <f t="shared" si="3"/>
        <v>Q2</v>
      </c>
      <c r="R79" s="3">
        <f>Table14[[#This Row],[Revenue]]*25%</f>
        <v>1861.9749999999999</v>
      </c>
      <c r="S79" s="3">
        <f t="shared" si="4"/>
        <v>1340.6219999999998</v>
      </c>
      <c r="T79" s="14">
        <f t="shared" si="5"/>
        <v>6107.2780000000002</v>
      </c>
      <c r="U79" s="3" t="str">
        <f t="array" ref="U79">_xlfn.IFS(Table14[[#This Row],[Revenue]]&gt;10000,"High",AND(Table14[[#This Row],[Revenue]]&gt;=5000,Table14[[#This Row],[Revenue]]&lt;=10000),"Medium",Table14[[#This Row],[Revenue]]&lt;5000,"Low")</f>
        <v>Medium</v>
      </c>
      <c r="V79" s="3"/>
    </row>
    <row r="80" spans="1:22" x14ac:dyDescent="0.35">
      <c r="A80" s="8">
        <v>1025</v>
      </c>
      <c r="B80" s="2">
        <v>45791</v>
      </c>
      <c r="C80" t="s">
        <v>27</v>
      </c>
      <c r="D80" t="s">
        <v>54</v>
      </c>
      <c r="E80" t="s">
        <v>90</v>
      </c>
      <c r="F80" t="s">
        <v>17</v>
      </c>
      <c r="G80" t="s">
        <v>18</v>
      </c>
      <c r="H80" s="8">
        <v>10</v>
      </c>
      <c r="I80" s="8">
        <v>268.57</v>
      </c>
      <c r="J80" s="8">
        <v>0</v>
      </c>
      <c r="K80" s="14">
        <v>2685.7</v>
      </c>
      <c r="L80" t="s">
        <v>35</v>
      </c>
      <c r="M80" t="s">
        <v>36</v>
      </c>
      <c r="N80" s="14">
        <f>Table14[[#This Row],[Quantity]]*Table14[[#This Row],[UnitPrice]]*(1-Table14[[#This Row],[Discount]])</f>
        <v>2685.7</v>
      </c>
      <c r="O80" s="8">
        <f>YEAR(Table14[[#This Row],[OrderDate]])</f>
        <v>2025</v>
      </c>
      <c r="P80" s="8" t="str">
        <f>TEXT(Table14[[#This Row],[OrderDate]],"mmmm")</f>
        <v>May</v>
      </c>
      <c r="Q80" s="8" t="str">
        <f t="shared" si="3"/>
        <v>Q2</v>
      </c>
      <c r="R80" s="3">
        <f>Table14[[#This Row],[Revenue]]*25%</f>
        <v>671.42499999999995</v>
      </c>
      <c r="S80" s="3">
        <f t="shared" si="4"/>
        <v>483.42599999999993</v>
      </c>
      <c r="T80" s="14">
        <f t="shared" si="5"/>
        <v>2202.2739999999999</v>
      </c>
      <c r="U80" s="3" t="str">
        <f t="array" ref="U80">_xlfn.IFS(Table14[[#This Row],[Revenue]]&gt;10000,"High",AND(Table14[[#This Row],[Revenue]]&gt;=5000,Table14[[#This Row],[Revenue]]&lt;=10000),"Medium",Table14[[#This Row],[Revenue]]&lt;5000,"Low")</f>
        <v>Low</v>
      </c>
      <c r="V80" s="3"/>
    </row>
    <row r="81" spans="1:22" x14ac:dyDescent="0.35">
      <c r="A81" s="8">
        <v>1054</v>
      </c>
      <c r="B81" s="2">
        <v>45791</v>
      </c>
      <c r="C81" t="s">
        <v>27</v>
      </c>
      <c r="D81" t="s">
        <v>28</v>
      </c>
      <c r="E81" t="s">
        <v>78</v>
      </c>
      <c r="F81" t="s">
        <v>24</v>
      </c>
      <c r="G81" t="s">
        <v>25</v>
      </c>
      <c r="H81" s="8">
        <v>10</v>
      </c>
      <c r="I81" s="8">
        <v>382.06</v>
      </c>
      <c r="J81" s="8">
        <v>0.05</v>
      </c>
      <c r="K81" s="14">
        <v>3629.57</v>
      </c>
      <c r="L81" t="s">
        <v>39</v>
      </c>
      <c r="M81" t="s">
        <v>36</v>
      </c>
      <c r="N81" s="14">
        <f>Table14[[#This Row],[Quantity]]*Table14[[#This Row],[UnitPrice]]*(1-Table14[[#This Row],[Discount]])</f>
        <v>3629.5699999999997</v>
      </c>
      <c r="O81" s="8">
        <f>YEAR(Table14[[#This Row],[OrderDate]])</f>
        <v>2025</v>
      </c>
      <c r="P81" s="8" t="str">
        <f>TEXT(Table14[[#This Row],[OrderDate]],"mmmm")</f>
        <v>May</v>
      </c>
      <c r="Q81" s="8" t="str">
        <f t="shared" si="3"/>
        <v>Q2</v>
      </c>
      <c r="R81" s="3">
        <f>Table14[[#This Row],[Revenue]]*25%</f>
        <v>907.39250000000004</v>
      </c>
      <c r="S81" s="3">
        <f t="shared" si="4"/>
        <v>653.32259999999997</v>
      </c>
      <c r="T81" s="14">
        <f t="shared" si="5"/>
        <v>2976.2474000000002</v>
      </c>
      <c r="U81" s="3" t="str">
        <f t="array" ref="U81">_xlfn.IFS(Table14[[#This Row],[Revenue]]&gt;10000,"High",AND(Table14[[#This Row],[Revenue]]&gt;=5000,Table14[[#This Row],[Revenue]]&lt;=10000),"Medium",Table14[[#This Row],[Revenue]]&lt;5000,"Low")</f>
        <v>Low</v>
      </c>
      <c r="V81" s="3"/>
    </row>
    <row r="82" spans="1:22" x14ac:dyDescent="0.35">
      <c r="A82" s="8">
        <v>1119</v>
      </c>
      <c r="B82" s="2">
        <v>45794</v>
      </c>
      <c r="C82" t="s">
        <v>21</v>
      </c>
      <c r="D82" t="s">
        <v>28</v>
      </c>
      <c r="E82" t="s">
        <v>91</v>
      </c>
      <c r="F82" t="s">
        <v>24</v>
      </c>
      <c r="G82" t="s">
        <v>25</v>
      </c>
      <c r="H82" s="8">
        <v>2</v>
      </c>
      <c r="I82" s="8">
        <v>804.39</v>
      </c>
      <c r="J82" s="8">
        <v>0</v>
      </c>
      <c r="K82" s="14">
        <v>1608.78</v>
      </c>
      <c r="L82" t="s">
        <v>39</v>
      </c>
      <c r="M82" t="s">
        <v>26</v>
      </c>
      <c r="N82" s="14">
        <f>Table14[[#This Row],[Quantity]]*Table14[[#This Row],[UnitPrice]]*(1-Table14[[#This Row],[Discount]])</f>
        <v>1608.78</v>
      </c>
      <c r="O82" s="8">
        <f>YEAR(Table14[[#This Row],[OrderDate]])</f>
        <v>2025</v>
      </c>
      <c r="P82" s="8" t="str">
        <f>TEXT(Table14[[#This Row],[OrderDate]],"mmmm")</f>
        <v>May</v>
      </c>
      <c r="Q82" s="8" t="str">
        <f t="shared" si="3"/>
        <v>Q2</v>
      </c>
      <c r="R82" s="3">
        <f>Table14[[#This Row],[Revenue]]*25%</f>
        <v>402.19499999999999</v>
      </c>
      <c r="S82" s="3">
        <f t="shared" si="4"/>
        <v>289.5804</v>
      </c>
      <c r="T82" s="14">
        <f t="shared" si="5"/>
        <v>1319.1995999999999</v>
      </c>
      <c r="U82" s="3" t="str">
        <f t="array" ref="U82">_xlfn.IFS(Table14[[#This Row],[Revenue]]&gt;10000,"High",AND(Table14[[#This Row],[Revenue]]&gt;=5000,Table14[[#This Row],[Revenue]]&lt;=10000),"Medium",Table14[[#This Row],[Revenue]]&lt;5000,"Low")</f>
        <v>Low</v>
      </c>
      <c r="V82" s="3"/>
    </row>
    <row r="83" spans="1:22" x14ac:dyDescent="0.35">
      <c r="A83" s="8">
        <v>1068</v>
      </c>
      <c r="B83" s="2">
        <v>45796</v>
      </c>
      <c r="C83" t="s">
        <v>14</v>
      </c>
      <c r="D83" t="s">
        <v>54</v>
      </c>
      <c r="E83" t="s">
        <v>89</v>
      </c>
      <c r="F83" t="s">
        <v>33</v>
      </c>
      <c r="G83" t="s">
        <v>61</v>
      </c>
      <c r="H83" s="8">
        <v>4</v>
      </c>
      <c r="I83" s="8">
        <v>779.99</v>
      </c>
      <c r="J83" s="8">
        <v>0.15</v>
      </c>
      <c r="K83" s="14">
        <v>2651.97</v>
      </c>
      <c r="L83" t="s">
        <v>39</v>
      </c>
      <c r="M83" t="s">
        <v>36</v>
      </c>
      <c r="N83" s="14">
        <f>Table14[[#This Row],[Quantity]]*Table14[[#This Row],[UnitPrice]]*(1-Table14[[#This Row],[Discount]])</f>
        <v>2651.9659999999999</v>
      </c>
      <c r="O83" s="8">
        <f>YEAR(Table14[[#This Row],[OrderDate]])</f>
        <v>2025</v>
      </c>
      <c r="P83" s="8" t="str">
        <f>TEXT(Table14[[#This Row],[OrderDate]],"mmmm")</f>
        <v>May</v>
      </c>
      <c r="Q83" s="8" t="str">
        <f t="shared" si="3"/>
        <v>Q2</v>
      </c>
      <c r="R83" s="3">
        <f>Table14[[#This Row],[Revenue]]*25%</f>
        <v>662.99249999999995</v>
      </c>
      <c r="S83" s="3">
        <f t="shared" si="4"/>
        <v>477.35459999999995</v>
      </c>
      <c r="T83" s="14">
        <f t="shared" si="5"/>
        <v>2174.6153999999997</v>
      </c>
      <c r="U83" s="3" t="str">
        <f t="array" ref="U83">_xlfn.IFS(Table14[[#This Row],[Revenue]]&gt;10000,"High",AND(Table14[[#This Row],[Revenue]]&gt;=5000,Table14[[#This Row],[Revenue]]&lt;=10000),"Medium",Table14[[#This Row],[Revenue]]&lt;5000,"Low")</f>
        <v>Low</v>
      </c>
      <c r="V83" s="3"/>
    </row>
    <row r="84" spans="1:22" x14ac:dyDescent="0.35">
      <c r="A84" s="8">
        <v>1238</v>
      </c>
      <c r="B84" s="2">
        <v>45798</v>
      </c>
      <c r="C84" t="s">
        <v>14</v>
      </c>
      <c r="D84" t="s">
        <v>22</v>
      </c>
      <c r="E84" t="s">
        <v>92</v>
      </c>
      <c r="F84" t="s">
        <v>33</v>
      </c>
      <c r="G84" t="s">
        <v>61</v>
      </c>
      <c r="H84" s="8">
        <v>12</v>
      </c>
      <c r="I84" s="8">
        <v>810.84</v>
      </c>
      <c r="J84" s="8">
        <v>0.1</v>
      </c>
      <c r="K84" s="14">
        <v>8757.07</v>
      </c>
      <c r="L84" t="s">
        <v>35</v>
      </c>
      <c r="M84" t="s">
        <v>26</v>
      </c>
      <c r="N84" s="14">
        <f>Table14[[#This Row],[Quantity]]*Table14[[#This Row],[UnitPrice]]*(1-Table14[[#This Row],[Discount]])</f>
        <v>8757.0720000000001</v>
      </c>
      <c r="O84" s="8">
        <f>YEAR(Table14[[#This Row],[OrderDate]])</f>
        <v>2025</v>
      </c>
      <c r="P84" s="8" t="str">
        <f>TEXT(Table14[[#This Row],[OrderDate]],"mmmm")</f>
        <v>May</v>
      </c>
      <c r="Q84" s="8" t="str">
        <f t="shared" si="3"/>
        <v>Q2</v>
      </c>
      <c r="R84" s="3">
        <f>Table14[[#This Row],[Revenue]]*25%</f>
        <v>2189.2674999999999</v>
      </c>
      <c r="S84" s="3">
        <f t="shared" si="4"/>
        <v>1576.2725999999998</v>
      </c>
      <c r="T84" s="14">
        <f t="shared" si="5"/>
        <v>7180.7973999999995</v>
      </c>
      <c r="U84" s="3" t="str">
        <f t="array" ref="U84">_xlfn.IFS(Table14[[#This Row],[Revenue]]&gt;10000,"High",AND(Table14[[#This Row],[Revenue]]&gt;=5000,Table14[[#This Row],[Revenue]]&lt;=10000),"Medium",Table14[[#This Row],[Revenue]]&lt;5000,"Low")</f>
        <v>Medium</v>
      </c>
      <c r="V84" s="3"/>
    </row>
    <row r="85" spans="1:22" x14ac:dyDescent="0.35">
      <c r="A85" s="8">
        <v>1269</v>
      </c>
      <c r="B85" s="2">
        <v>45804</v>
      </c>
      <c r="C85" t="s">
        <v>14</v>
      </c>
      <c r="D85" t="s">
        <v>28</v>
      </c>
      <c r="E85" t="s">
        <v>93</v>
      </c>
      <c r="F85" t="s">
        <v>33</v>
      </c>
      <c r="G85" t="s">
        <v>61</v>
      </c>
      <c r="H85" s="8">
        <v>14</v>
      </c>
      <c r="I85" s="8">
        <v>703.31</v>
      </c>
      <c r="J85" s="8">
        <v>0.15</v>
      </c>
      <c r="K85" s="14">
        <v>8369.39</v>
      </c>
      <c r="L85" t="s">
        <v>35</v>
      </c>
      <c r="M85" t="s">
        <v>26</v>
      </c>
      <c r="N85" s="14">
        <f>Table14[[#This Row],[Quantity]]*Table14[[#This Row],[UnitPrice]]*(1-Table14[[#This Row],[Discount]])</f>
        <v>8369.3889999999992</v>
      </c>
      <c r="O85" s="8">
        <f>YEAR(Table14[[#This Row],[OrderDate]])</f>
        <v>2025</v>
      </c>
      <c r="P85" s="8" t="str">
        <f>TEXT(Table14[[#This Row],[OrderDate]],"mmmm")</f>
        <v>May</v>
      </c>
      <c r="Q85" s="8" t="str">
        <f t="shared" si="3"/>
        <v>Q2</v>
      </c>
      <c r="R85" s="3">
        <f>Table14[[#This Row],[Revenue]]*25%</f>
        <v>2092.3474999999999</v>
      </c>
      <c r="S85" s="3">
        <f t="shared" si="4"/>
        <v>1506.4901999999997</v>
      </c>
      <c r="T85" s="14">
        <f t="shared" si="5"/>
        <v>6862.8997999999992</v>
      </c>
      <c r="U85" s="3" t="str">
        <f t="array" ref="U85">_xlfn.IFS(Table14[[#This Row],[Revenue]]&gt;10000,"High",AND(Table14[[#This Row],[Revenue]]&gt;=5000,Table14[[#This Row],[Revenue]]&lt;=10000),"Medium",Table14[[#This Row],[Revenue]]&lt;5000,"Low")</f>
        <v>Medium</v>
      </c>
      <c r="V85" s="3"/>
    </row>
    <row r="86" spans="1:22" x14ac:dyDescent="0.35">
      <c r="A86" s="8">
        <v>1124</v>
      </c>
      <c r="B86" s="2">
        <v>45805</v>
      </c>
      <c r="C86" t="s">
        <v>43</v>
      </c>
      <c r="D86" t="s">
        <v>15</v>
      </c>
      <c r="E86" t="s">
        <v>94</v>
      </c>
      <c r="F86" t="s">
        <v>17</v>
      </c>
      <c r="G86" t="s">
        <v>18</v>
      </c>
      <c r="H86" s="8">
        <v>12</v>
      </c>
      <c r="I86" s="8">
        <v>1056.01</v>
      </c>
      <c r="J86" s="8">
        <v>0.15</v>
      </c>
      <c r="K86" s="14">
        <v>10771.3</v>
      </c>
      <c r="L86" t="s">
        <v>35</v>
      </c>
      <c r="M86" t="s">
        <v>26</v>
      </c>
      <c r="N86" s="14">
        <f>Table14[[#This Row],[Quantity]]*Table14[[#This Row],[UnitPrice]]*(1-Table14[[#This Row],[Discount]])</f>
        <v>10771.302</v>
      </c>
      <c r="O86" s="8">
        <f>YEAR(Table14[[#This Row],[OrderDate]])</f>
        <v>2025</v>
      </c>
      <c r="P86" s="8" t="str">
        <f>TEXT(Table14[[#This Row],[OrderDate]],"mmmm")</f>
        <v>May</v>
      </c>
      <c r="Q86" s="8" t="str">
        <f t="shared" si="3"/>
        <v>Q2</v>
      </c>
      <c r="R86" s="3">
        <f>Table14[[#This Row],[Revenue]]*25%</f>
        <v>2692.8249999999998</v>
      </c>
      <c r="S86" s="3">
        <f t="shared" si="4"/>
        <v>1938.8339999999998</v>
      </c>
      <c r="T86" s="14">
        <f t="shared" si="5"/>
        <v>8832.4660000000003</v>
      </c>
      <c r="U86" s="3" t="str">
        <f t="array" ref="U86">_xlfn.IFS(Table14[[#This Row],[Revenue]]&gt;10000,"High",AND(Table14[[#This Row],[Revenue]]&gt;=5000,Table14[[#This Row],[Revenue]]&lt;=10000),"Medium",Table14[[#This Row],[Revenue]]&lt;5000,"Low")</f>
        <v>High</v>
      </c>
      <c r="V86" s="3"/>
    </row>
    <row r="87" spans="1:22" x14ac:dyDescent="0.35">
      <c r="A87" s="8">
        <v>1180</v>
      </c>
      <c r="B87" s="2">
        <v>45805</v>
      </c>
      <c r="C87" t="s">
        <v>43</v>
      </c>
      <c r="D87" t="s">
        <v>22</v>
      </c>
      <c r="E87" t="s">
        <v>92</v>
      </c>
      <c r="F87" t="s">
        <v>33</v>
      </c>
      <c r="G87" t="s">
        <v>61</v>
      </c>
      <c r="H87" s="8">
        <v>8</v>
      </c>
      <c r="I87" s="8">
        <v>903.97</v>
      </c>
      <c r="J87" s="8">
        <v>0.1</v>
      </c>
      <c r="K87" s="14">
        <v>6508.58</v>
      </c>
      <c r="L87" t="s">
        <v>39</v>
      </c>
      <c r="M87" t="s">
        <v>26</v>
      </c>
      <c r="N87" s="14">
        <f>Table14[[#This Row],[Quantity]]*Table14[[#This Row],[UnitPrice]]*(1-Table14[[#This Row],[Discount]])</f>
        <v>6508.5840000000007</v>
      </c>
      <c r="O87" s="8">
        <f>YEAR(Table14[[#This Row],[OrderDate]])</f>
        <v>2025</v>
      </c>
      <c r="P87" s="8" t="str">
        <f>TEXT(Table14[[#This Row],[OrderDate]],"mmmm")</f>
        <v>May</v>
      </c>
      <c r="Q87" s="8" t="str">
        <f t="shared" si="3"/>
        <v>Q2</v>
      </c>
      <c r="R87" s="3">
        <f>Table14[[#This Row],[Revenue]]*25%</f>
        <v>1627.145</v>
      </c>
      <c r="S87" s="3">
        <f t="shared" si="4"/>
        <v>1171.5444</v>
      </c>
      <c r="T87" s="14">
        <f t="shared" si="5"/>
        <v>5337.0356000000002</v>
      </c>
      <c r="U87" s="3" t="str">
        <f t="array" ref="U87">_xlfn.IFS(Table14[[#This Row],[Revenue]]&gt;10000,"High",AND(Table14[[#This Row],[Revenue]]&gt;=5000,Table14[[#This Row],[Revenue]]&lt;=10000),"Medium",Table14[[#This Row],[Revenue]]&lt;5000,"Low")</f>
        <v>Medium</v>
      </c>
      <c r="V87" s="3"/>
    </row>
    <row r="88" spans="1:22" x14ac:dyDescent="0.35">
      <c r="A88" s="8">
        <v>1246</v>
      </c>
      <c r="B88" s="2">
        <v>45805</v>
      </c>
      <c r="C88" t="s">
        <v>43</v>
      </c>
      <c r="D88" t="s">
        <v>54</v>
      </c>
      <c r="E88" t="s">
        <v>48</v>
      </c>
      <c r="F88" t="s">
        <v>33</v>
      </c>
      <c r="G88" t="s">
        <v>53</v>
      </c>
      <c r="H88" s="8">
        <v>8</v>
      </c>
      <c r="I88" s="8">
        <v>492.92</v>
      </c>
      <c r="J88" s="8">
        <v>0.15</v>
      </c>
      <c r="K88" s="14">
        <v>3351.86</v>
      </c>
      <c r="L88" t="s">
        <v>39</v>
      </c>
      <c r="M88" t="s">
        <v>26</v>
      </c>
      <c r="N88" s="14">
        <f>Table14[[#This Row],[Quantity]]*Table14[[#This Row],[UnitPrice]]*(1-Table14[[#This Row],[Discount]])</f>
        <v>3351.8560000000002</v>
      </c>
      <c r="O88" s="8">
        <f>YEAR(Table14[[#This Row],[OrderDate]])</f>
        <v>2025</v>
      </c>
      <c r="P88" s="8" t="str">
        <f>TEXT(Table14[[#This Row],[OrderDate]],"mmmm")</f>
        <v>May</v>
      </c>
      <c r="Q88" s="8" t="str">
        <f t="shared" si="3"/>
        <v>Q2</v>
      </c>
      <c r="R88" s="3">
        <f>Table14[[#This Row],[Revenue]]*25%</f>
        <v>837.96500000000003</v>
      </c>
      <c r="S88" s="3">
        <f t="shared" si="4"/>
        <v>603.33479999999997</v>
      </c>
      <c r="T88" s="14">
        <f t="shared" si="5"/>
        <v>2748.5252</v>
      </c>
      <c r="U88" s="3" t="str">
        <f t="array" ref="U88">_xlfn.IFS(Table14[[#This Row],[Revenue]]&gt;10000,"High",AND(Table14[[#This Row],[Revenue]]&gt;=5000,Table14[[#This Row],[Revenue]]&lt;=10000),"Medium",Table14[[#This Row],[Revenue]]&lt;5000,"Low")</f>
        <v>Low</v>
      </c>
      <c r="V88" s="3"/>
    </row>
    <row r="89" spans="1:22" x14ac:dyDescent="0.35">
      <c r="A89" s="8">
        <v>1262</v>
      </c>
      <c r="B89" s="2">
        <v>45807</v>
      </c>
      <c r="C89" t="s">
        <v>14</v>
      </c>
      <c r="D89" t="s">
        <v>28</v>
      </c>
      <c r="E89" t="s">
        <v>49</v>
      </c>
      <c r="F89" t="s">
        <v>17</v>
      </c>
      <c r="G89" t="s">
        <v>46</v>
      </c>
      <c r="H89" s="8">
        <v>6</v>
      </c>
      <c r="I89" s="8">
        <v>1035.44</v>
      </c>
      <c r="J89" s="8">
        <v>0.1</v>
      </c>
      <c r="K89" s="14">
        <v>5591.38</v>
      </c>
      <c r="L89" t="s">
        <v>39</v>
      </c>
      <c r="M89" t="s">
        <v>36</v>
      </c>
      <c r="N89" s="14">
        <f>Table14[[#This Row],[Quantity]]*Table14[[#This Row],[UnitPrice]]*(1-Table14[[#This Row],[Discount]])</f>
        <v>5591.3760000000002</v>
      </c>
      <c r="O89" s="8">
        <f>YEAR(Table14[[#This Row],[OrderDate]])</f>
        <v>2025</v>
      </c>
      <c r="P89" s="8" t="str">
        <f>TEXT(Table14[[#This Row],[OrderDate]],"mmmm")</f>
        <v>May</v>
      </c>
      <c r="Q89" s="8" t="str">
        <f t="shared" si="3"/>
        <v>Q2</v>
      </c>
      <c r="R89" s="3">
        <f>Table14[[#This Row],[Revenue]]*25%</f>
        <v>1397.845</v>
      </c>
      <c r="S89" s="3">
        <f t="shared" si="4"/>
        <v>1006.4484</v>
      </c>
      <c r="T89" s="14">
        <f t="shared" si="5"/>
        <v>4584.9315999999999</v>
      </c>
      <c r="U89" s="3" t="str">
        <f t="array" ref="U89">_xlfn.IFS(Table14[[#This Row],[Revenue]]&gt;10000,"High",AND(Table14[[#This Row],[Revenue]]&gt;=5000,Table14[[#This Row],[Revenue]]&lt;=10000),"Medium",Table14[[#This Row],[Revenue]]&lt;5000,"Low")</f>
        <v>Medium</v>
      </c>
      <c r="V89" s="3"/>
    </row>
    <row r="90" spans="1:22" x14ac:dyDescent="0.35">
      <c r="A90" s="8">
        <v>1109</v>
      </c>
      <c r="B90" s="2">
        <v>45809</v>
      </c>
      <c r="C90" t="s">
        <v>21</v>
      </c>
      <c r="D90" t="s">
        <v>15</v>
      </c>
      <c r="E90" t="s">
        <v>82</v>
      </c>
      <c r="F90" t="s">
        <v>24</v>
      </c>
      <c r="G90" t="s">
        <v>63</v>
      </c>
      <c r="H90" s="8">
        <v>8</v>
      </c>
      <c r="I90" s="8">
        <v>1154.1199999999999</v>
      </c>
      <c r="J90" s="8">
        <v>0.1</v>
      </c>
      <c r="K90" s="14">
        <v>8309.66</v>
      </c>
      <c r="L90" t="s">
        <v>19</v>
      </c>
      <c r="M90" t="s">
        <v>26</v>
      </c>
      <c r="N90" s="14">
        <f>Table14[[#This Row],[Quantity]]*Table14[[#This Row],[UnitPrice]]*(1-Table14[[#This Row],[Discount]])</f>
        <v>8309.6639999999989</v>
      </c>
      <c r="O90" s="8">
        <f>YEAR(Table14[[#This Row],[OrderDate]])</f>
        <v>2025</v>
      </c>
      <c r="P90" s="8" t="str">
        <f>TEXT(Table14[[#This Row],[OrderDate]],"mmmm")</f>
        <v>June</v>
      </c>
      <c r="Q90" s="8" t="str">
        <f t="shared" si="3"/>
        <v>Q2</v>
      </c>
      <c r="R90" s="3">
        <f>Table14[[#This Row],[Revenue]]*25%</f>
        <v>2077.415</v>
      </c>
      <c r="S90" s="3">
        <f t="shared" si="4"/>
        <v>1495.7387999999999</v>
      </c>
      <c r="T90" s="14">
        <f t="shared" si="5"/>
        <v>6813.9211999999998</v>
      </c>
      <c r="U90" s="3" t="str">
        <f t="array" ref="U90">_xlfn.IFS(Table14[[#This Row],[Revenue]]&gt;10000,"High",AND(Table14[[#This Row],[Revenue]]&gt;=5000,Table14[[#This Row],[Revenue]]&lt;=10000),"Medium",Table14[[#This Row],[Revenue]]&lt;5000,"Low")</f>
        <v>Medium</v>
      </c>
      <c r="V90" s="3"/>
    </row>
    <row r="91" spans="1:22" x14ac:dyDescent="0.35">
      <c r="A91" s="8">
        <v>1152</v>
      </c>
      <c r="B91" s="2">
        <v>45811</v>
      </c>
      <c r="C91" t="s">
        <v>27</v>
      </c>
      <c r="D91" t="s">
        <v>28</v>
      </c>
      <c r="E91" t="s">
        <v>95</v>
      </c>
      <c r="F91" t="s">
        <v>24</v>
      </c>
      <c r="G91" t="s">
        <v>63</v>
      </c>
      <c r="H91" s="8">
        <v>10</v>
      </c>
      <c r="I91" s="8">
        <v>639.47</v>
      </c>
      <c r="J91" s="8">
        <v>0.15</v>
      </c>
      <c r="K91" s="14">
        <v>5435.5</v>
      </c>
      <c r="L91" t="s">
        <v>35</v>
      </c>
      <c r="M91" t="s">
        <v>20</v>
      </c>
      <c r="N91" s="14">
        <f>Table14[[#This Row],[Quantity]]*Table14[[#This Row],[UnitPrice]]*(1-Table14[[#This Row],[Discount]])</f>
        <v>5435.4950000000008</v>
      </c>
      <c r="O91" s="8">
        <f>YEAR(Table14[[#This Row],[OrderDate]])</f>
        <v>2025</v>
      </c>
      <c r="P91" s="8" t="str">
        <f>TEXT(Table14[[#This Row],[OrderDate]],"mmmm")</f>
        <v>June</v>
      </c>
      <c r="Q91" s="8" t="str">
        <f t="shared" si="3"/>
        <v>Q2</v>
      </c>
      <c r="R91" s="3">
        <f>Table14[[#This Row],[Revenue]]*25%</f>
        <v>1358.875</v>
      </c>
      <c r="S91" s="3">
        <f t="shared" si="4"/>
        <v>978.39</v>
      </c>
      <c r="T91" s="14">
        <f t="shared" si="5"/>
        <v>4457.1099999999997</v>
      </c>
      <c r="U91" s="3" t="str">
        <f t="array" ref="U91">_xlfn.IFS(Table14[[#This Row],[Revenue]]&gt;10000,"High",AND(Table14[[#This Row],[Revenue]]&gt;=5000,Table14[[#This Row],[Revenue]]&lt;=10000),"Medium",Table14[[#This Row],[Revenue]]&lt;5000,"Low")</f>
        <v>Medium</v>
      </c>
      <c r="V91" s="3"/>
    </row>
    <row r="92" spans="1:22" x14ac:dyDescent="0.35">
      <c r="A92" s="8">
        <v>1265</v>
      </c>
      <c r="B92" s="2">
        <v>45812</v>
      </c>
      <c r="C92" t="s">
        <v>43</v>
      </c>
      <c r="D92" t="s">
        <v>31</v>
      </c>
      <c r="E92" t="s">
        <v>96</v>
      </c>
      <c r="F92" t="s">
        <v>24</v>
      </c>
      <c r="G92" t="s">
        <v>63</v>
      </c>
      <c r="H92" s="8">
        <v>12</v>
      </c>
      <c r="I92" s="8">
        <v>17.03</v>
      </c>
      <c r="J92" s="8">
        <v>0</v>
      </c>
      <c r="K92" s="14">
        <v>204.36</v>
      </c>
      <c r="L92" t="s">
        <v>35</v>
      </c>
      <c r="M92" t="s">
        <v>26</v>
      </c>
      <c r="N92" s="14">
        <f>Table14[[#This Row],[Quantity]]*Table14[[#This Row],[UnitPrice]]*(1-Table14[[#This Row],[Discount]])</f>
        <v>204.36</v>
      </c>
      <c r="O92" s="8">
        <f>YEAR(Table14[[#This Row],[OrderDate]])</f>
        <v>2025</v>
      </c>
      <c r="P92" s="8" t="str">
        <f>TEXT(Table14[[#This Row],[OrderDate]],"mmmm")</f>
        <v>June</v>
      </c>
      <c r="Q92" s="8" t="str">
        <f t="shared" si="3"/>
        <v>Q2</v>
      </c>
      <c r="R92" s="3">
        <f>Table14[[#This Row],[Revenue]]*25%</f>
        <v>51.09</v>
      </c>
      <c r="S92" s="3">
        <f t="shared" si="4"/>
        <v>36.784800000000004</v>
      </c>
      <c r="T92" s="14">
        <f t="shared" si="5"/>
        <v>167.5752</v>
      </c>
      <c r="U92" s="3" t="str">
        <f t="array" ref="U92">_xlfn.IFS(Table14[[#This Row],[Revenue]]&gt;10000,"High",AND(Table14[[#This Row],[Revenue]]&gt;=5000,Table14[[#This Row],[Revenue]]&lt;=10000),"Medium",Table14[[#This Row],[Revenue]]&lt;5000,"Low")</f>
        <v>Low</v>
      </c>
      <c r="V92" s="3"/>
    </row>
    <row r="93" spans="1:22" x14ac:dyDescent="0.35">
      <c r="A93" s="8">
        <v>1235</v>
      </c>
      <c r="B93" s="2">
        <v>45815</v>
      </c>
      <c r="C93" t="s">
        <v>27</v>
      </c>
      <c r="D93" t="s">
        <v>47</v>
      </c>
      <c r="E93" t="s">
        <v>83</v>
      </c>
      <c r="F93" t="s">
        <v>24</v>
      </c>
      <c r="G93" t="s">
        <v>25</v>
      </c>
      <c r="H93" s="8">
        <v>2</v>
      </c>
      <c r="I93" s="8">
        <v>959.28</v>
      </c>
      <c r="J93" s="8">
        <v>0.1</v>
      </c>
      <c r="K93" s="14">
        <v>1726.7</v>
      </c>
      <c r="L93" t="s">
        <v>19</v>
      </c>
      <c r="M93" t="s">
        <v>26</v>
      </c>
      <c r="N93" s="14">
        <f>Table14[[#This Row],[Quantity]]*Table14[[#This Row],[UnitPrice]]*(1-Table14[[#This Row],[Discount]])</f>
        <v>1726.704</v>
      </c>
      <c r="O93" s="8">
        <f>YEAR(Table14[[#This Row],[OrderDate]])</f>
        <v>2025</v>
      </c>
      <c r="P93" s="8" t="str">
        <f>TEXT(Table14[[#This Row],[OrderDate]],"mmmm")</f>
        <v>June</v>
      </c>
      <c r="Q93" s="8" t="str">
        <f t="shared" si="3"/>
        <v>Q2</v>
      </c>
      <c r="R93" s="3">
        <f>Table14[[#This Row],[Revenue]]*25%</f>
        <v>431.67500000000001</v>
      </c>
      <c r="S93" s="3">
        <f t="shared" si="4"/>
        <v>310.80599999999998</v>
      </c>
      <c r="T93" s="14">
        <f t="shared" si="5"/>
        <v>1415.894</v>
      </c>
      <c r="U93" s="3" t="str">
        <f t="array" ref="U93">_xlfn.IFS(Table14[[#This Row],[Revenue]]&gt;10000,"High",AND(Table14[[#This Row],[Revenue]]&gt;=5000,Table14[[#This Row],[Revenue]]&lt;=10000),"Medium",Table14[[#This Row],[Revenue]]&lt;5000,"Low")</f>
        <v>Low</v>
      </c>
      <c r="V93" s="3"/>
    </row>
    <row r="94" spans="1:22" x14ac:dyDescent="0.35">
      <c r="A94" s="8">
        <v>1002</v>
      </c>
      <c r="B94" s="2">
        <v>45817</v>
      </c>
      <c r="C94" t="s">
        <v>27</v>
      </c>
      <c r="D94" t="s">
        <v>54</v>
      </c>
      <c r="E94" t="s">
        <v>77</v>
      </c>
      <c r="F94" t="s">
        <v>24</v>
      </c>
      <c r="G94" t="s">
        <v>63</v>
      </c>
      <c r="H94" s="8">
        <v>8</v>
      </c>
      <c r="I94" s="8">
        <v>958.32</v>
      </c>
      <c r="J94" s="8">
        <v>0.15</v>
      </c>
      <c r="K94" s="14">
        <v>6516.58</v>
      </c>
      <c r="L94" t="s">
        <v>19</v>
      </c>
      <c r="M94" t="s">
        <v>26</v>
      </c>
      <c r="N94" s="14">
        <f>Table14[[#This Row],[Quantity]]*Table14[[#This Row],[UnitPrice]]*(1-Table14[[#This Row],[Discount]])</f>
        <v>6516.576</v>
      </c>
      <c r="O94" s="8">
        <f>YEAR(Table14[[#This Row],[OrderDate]])</f>
        <v>2025</v>
      </c>
      <c r="P94" s="8" t="str">
        <f>TEXT(Table14[[#This Row],[OrderDate]],"mmmm")</f>
        <v>June</v>
      </c>
      <c r="Q94" s="8" t="str">
        <f t="shared" si="3"/>
        <v>Q2</v>
      </c>
      <c r="R94" s="3">
        <f>Table14[[#This Row],[Revenue]]*25%</f>
        <v>1629.145</v>
      </c>
      <c r="S94" s="3">
        <f t="shared" si="4"/>
        <v>1172.9844000000001</v>
      </c>
      <c r="T94" s="14">
        <f t="shared" si="5"/>
        <v>5343.5955999999996</v>
      </c>
      <c r="U94" s="3" t="str">
        <f t="array" ref="U94">_xlfn.IFS(Table14[[#This Row],[Revenue]]&gt;10000,"High",AND(Table14[[#This Row],[Revenue]]&gt;=5000,Table14[[#This Row],[Revenue]]&lt;=10000),"Medium",Table14[[#This Row],[Revenue]]&lt;5000,"Low")</f>
        <v>Medium</v>
      </c>
      <c r="V94" s="3"/>
    </row>
    <row r="95" spans="1:22" x14ac:dyDescent="0.35">
      <c r="A95" s="8">
        <v>1093</v>
      </c>
      <c r="B95" s="2">
        <v>45821</v>
      </c>
      <c r="C95" t="s">
        <v>43</v>
      </c>
      <c r="D95" t="s">
        <v>47</v>
      </c>
      <c r="E95" t="s">
        <v>97</v>
      </c>
      <c r="F95" t="s">
        <v>17</v>
      </c>
      <c r="G95" t="s">
        <v>30</v>
      </c>
      <c r="H95" s="8">
        <v>8</v>
      </c>
      <c r="I95" s="8">
        <v>1154.5999999999999</v>
      </c>
      <c r="J95" s="8">
        <v>0</v>
      </c>
      <c r="K95" s="14">
        <v>9236.7999999999993</v>
      </c>
      <c r="L95" t="s">
        <v>19</v>
      </c>
      <c r="M95" t="s">
        <v>36</v>
      </c>
      <c r="N95" s="14">
        <f>Table14[[#This Row],[Quantity]]*Table14[[#This Row],[UnitPrice]]*(1-Table14[[#This Row],[Discount]])</f>
        <v>9236.7999999999993</v>
      </c>
      <c r="O95" s="8">
        <f>YEAR(Table14[[#This Row],[OrderDate]])</f>
        <v>2025</v>
      </c>
      <c r="P95" s="8" t="str">
        <f>TEXT(Table14[[#This Row],[OrderDate]],"mmmm")</f>
        <v>June</v>
      </c>
      <c r="Q95" s="8" t="str">
        <f t="shared" si="3"/>
        <v>Q2</v>
      </c>
      <c r="R95" s="3">
        <f>Table14[[#This Row],[Revenue]]*25%</f>
        <v>2309.1999999999998</v>
      </c>
      <c r="S95" s="3">
        <f t="shared" si="4"/>
        <v>1662.6239999999998</v>
      </c>
      <c r="T95" s="14">
        <f t="shared" si="5"/>
        <v>7574.1759999999995</v>
      </c>
      <c r="U95" s="3" t="str">
        <f t="array" ref="U95">_xlfn.IFS(Table14[[#This Row],[Revenue]]&gt;10000,"High",AND(Table14[[#This Row],[Revenue]]&gt;=5000,Table14[[#This Row],[Revenue]]&lt;=10000),"Medium",Table14[[#This Row],[Revenue]]&lt;5000,"Low")</f>
        <v>Medium</v>
      </c>
      <c r="V95" s="3"/>
    </row>
    <row r="96" spans="1:22" x14ac:dyDescent="0.35">
      <c r="A96" s="8">
        <v>1104</v>
      </c>
      <c r="B96" s="2">
        <v>45822</v>
      </c>
      <c r="C96" t="s">
        <v>43</v>
      </c>
      <c r="D96" t="s">
        <v>15</v>
      </c>
      <c r="E96" t="s">
        <v>98</v>
      </c>
      <c r="F96" t="s">
        <v>24</v>
      </c>
      <c r="G96" t="s">
        <v>25</v>
      </c>
      <c r="H96" s="8">
        <v>11</v>
      </c>
      <c r="I96" s="8">
        <v>440.47</v>
      </c>
      <c r="J96" s="8">
        <v>0</v>
      </c>
      <c r="K96" s="14">
        <v>4845.17</v>
      </c>
      <c r="L96" t="s">
        <v>19</v>
      </c>
      <c r="M96" t="s">
        <v>20</v>
      </c>
      <c r="N96" s="14">
        <f>Table14[[#This Row],[Quantity]]*Table14[[#This Row],[UnitPrice]]*(1-Table14[[#This Row],[Discount]])</f>
        <v>4845.17</v>
      </c>
      <c r="O96" s="8">
        <f>YEAR(Table14[[#This Row],[OrderDate]])</f>
        <v>2025</v>
      </c>
      <c r="P96" s="8" t="str">
        <f>TEXT(Table14[[#This Row],[OrderDate]],"mmmm")</f>
        <v>June</v>
      </c>
      <c r="Q96" s="8" t="str">
        <f t="shared" si="3"/>
        <v>Q2</v>
      </c>
      <c r="R96" s="3">
        <f>Table14[[#This Row],[Revenue]]*25%</f>
        <v>1211.2925</v>
      </c>
      <c r="S96" s="3">
        <f t="shared" si="4"/>
        <v>872.13059999999996</v>
      </c>
      <c r="T96" s="14">
        <f t="shared" si="5"/>
        <v>3973.0394000000001</v>
      </c>
      <c r="U96" s="3" t="str">
        <f t="array" ref="U96">_xlfn.IFS(Table14[[#This Row],[Revenue]]&gt;10000,"High",AND(Table14[[#This Row],[Revenue]]&gt;=5000,Table14[[#This Row],[Revenue]]&lt;=10000),"Medium",Table14[[#This Row],[Revenue]]&lt;5000,"Low")</f>
        <v>Low</v>
      </c>
      <c r="V96" s="3"/>
    </row>
    <row r="97" spans="1:22" x14ac:dyDescent="0.35">
      <c r="A97" s="8">
        <v>1245</v>
      </c>
      <c r="B97" s="2">
        <v>45822</v>
      </c>
      <c r="C97" t="s">
        <v>43</v>
      </c>
      <c r="D97" t="s">
        <v>31</v>
      </c>
      <c r="E97" t="s">
        <v>76</v>
      </c>
      <c r="F97" t="s">
        <v>17</v>
      </c>
      <c r="G97" t="s">
        <v>18</v>
      </c>
      <c r="H97" s="8">
        <v>1</v>
      </c>
      <c r="I97" s="8">
        <v>501.06</v>
      </c>
      <c r="J97" s="8">
        <v>0.05</v>
      </c>
      <c r="K97" s="14">
        <v>476.01</v>
      </c>
      <c r="L97" t="s">
        <v>35</v>
      </c>
      <c r="M97" t="s">
        <v>20</v>
      </c>
      <c r="N97" s="14">
        <f>Table14[[#This Row],[Quantity]]*Table14[[#This Row],[UnitPrice]]*(1-Table14[[#This Row],[Discount]])</f>
        <v>476.00700000000001</v>
      </c>
      <c r="O97" s="8">
        <f>YEAR(Table14[[#This Row],[OrderDate]])</f>
        <v>2025</v>
      </c>
      <c r="P97" s="8" t="str">
        <f>TEXT(Table14[[#This Row],[OrderDate]],"mmmm")</f>
        <v>June</v>
      </c>
      <c r="Q97" s="8" t="str">
        <f t="shared" si="3"/>
        <v>Q2</v>
      </c>
      <c r="R97" s="3">
        <f>Table14[[#This Row],[Revenue]]*25%</f>
        <v>119.0025</v>
      </c>
      <c r="S97" s="3">
        <f t="shared" si="4"/>
        <v>85.681799999999996</v>
      </c>
      <c r="T97" s="14">
        <f t="shared" si="5"/>
        <v>390.32819999999998</v>
      </c>
      <c r="U97" s="3" t="str">
        <f t="array" ref="U97">_xlfn.IFS(Table14[[#This Row],[Revenue]]&gt;10000,"High",AND(Table14[[#This Row],[Revenue]]&gt;=5000,Table14[[#This Row],[Revenue]]&lt;=10000),"Medium",Table14[[#This Row],[Revenue]]&lt;5000,"Low")</f>
        <v>Low</v>
      </c>
      <c r="V97" s="3"/>
    </row>
    <row r="98" spans="1:22" x14ac:dyDescent="0.35">
      <c r="A98" s="8">
        <v>1099</v>
      </c>
      <c r="B98" s="2">
        <v>45823</v>
      </c>
      <c r="C98" t="s">
        <v>14</v>
      </c>
      <c r="D98" t="s">
        <v>22</v>
      </c>
      <c r="E98" t="s">
        <v>99</v>
      </c>
      <c r="F98" t="s">
        <v>17</v>
      </c>
      <c r="G98" t="s">
        <v>30</v>
      </c>
      <c r="H98" s="8">
        <v>11</v>
      </c>
      <c r="I98" s="8">
        <v>1175.1300000000001</v>
      </c>
      <c r="J98" s="8">
        <v>0.1</v>
      </c>
      <c r="K98" s="14">
        <v>11633.79</v>
      </c>
      <c r="L98" t="s">
        <v>35</v>
      </c>
      <c r="M98" t="s">
        <v>26</v>
      </c>
      <c r="N98" s="14">
        <f>Table14[[#This Row],[Quantity]]*Table14[[#This Row],[UnitPrice]]*(1-Table14[[#This Row],[Discount]])</f>
        <v>11633.787</v>
      </c>
      <c r="O98" s="8">
        <f>YEAR(Table14[[#This Row],[OrderDate]])</f>
        <v>2025</v>
      </c>
      <c r="P98" s="8" t="str">
        <f>TEXT(Table14[[#This Row],[OrderDate]],"mmmm")</f>
        <v>June</v>
      </c>
      <c r="Q98" s="8" t="str">
        <f t="shared" si="3"/>
        <v>Q2</v>
      </c>
      <c r="R98" s="3">
        <f>Table14[[#This Row],[Revenue]]*25%</f>
        <v>2908.4475000000002</v>
      </c>
      <c r="S98" s="3">
        <f t="shared" si="4"/>
        <v>2094.0822000000003</v>
      </c>
      <c r="T98" s="14">
        <f t="shared" si="5"/>
        <v>9539.7078000000001</v>
      </c>
      <c r="U98" s="3" t="str">
        <f t="array" ref="U98">_xlfn.IFS(Table14[[#This Row],[Revenue]]&gt;10000,"High",AND(Table14[[#This Row],[Revenue]]&gt;=5000,Table14[[#This Row],[Revenue]]&lt;=10000),"Medium",Table14[[#This Row],[Revenue]]&lt;5000,"Low")</f>
        <v>High</v>
      </c>
      <c r="V98" s="3"/>
    </row>
    <row r="99" spans="1:22" x14ac:dyDescent="0.35">
      <c r="A99" s="8">
        <v>1120</v>
      </c>
      <c r="B99" s="2">
        <v>45824</v>
      </c>
      <c r="C99" t="s">
        <v>43</v>
      </c>
      <c r="D99" t="s">
        <v>28</v>
      </c>
      <c r="E99" t="s">
        <v>100</v>
      </c>
      <c r="F99" t="s">
        <v>17</v>
      </c>
      <c r="G99" t="s">
        <v>30</v>
      </c>
      <c r="H99" s="8">
        <v>3</v>
      </c>
      <c r="I99" s="8">
        <v>838.73</v>
      </c>
      <c r="J99" s="8">
        <v>0.1</v>
      </c>
      <c r="K99" s="14">
        <v>2264.5700000000002</v>
      </c>
      <c r="L99" t="s">
        <v>39</v>
      </c>
      <c r="M99" t="s">
        <v>26</v>
      </c>
      <c r="N99" s="14">
        <f>Table14[[#This Row],[Quantity]]*Table14[[#This Row],[UnitPrice]]*(1-Table14[[#This Row],[Discount]])</f>
        <v>2264.5709999999999</v>
      </c>
      <c r="O99" s="8">
        <f>YEAR(Table14[[#This Row],[OrderDate]])</f>
        <v>2025</v>
      </c>
      <c r="P99" s="8" t="str">
        <f>TEXT(Table14[[#This Row],[OrderDate]],"mmmm")</f>
        <v>June</v>
      </c>
      <c r="Q99" s="8" t="str">
        <f t="shared" si="3"/>
        <v>Q2</v>
      </c>
      <c r="R99" s="3">
        <f>Table14[[#This Row],[Revenue]]*25%</f>
        <v>566.14250000000004</v>
      </c>
      <c r="S99" s="3">
        <f t="shared" si="4"/>
        <v>407.62260000000003</v>
      </c>
      <c r="T99" s="14">
        <f t="shared" si="5"/>
        <v>1856.9474</v>
      </c>
      <c r="U99" s="3" t="str">
        <f t="array" ref="U99">_xlfn.IFS(Table14[[#This Row],[Revenue]]&gt;10000,"High",AND(Table14[[#This Row],[Revenue]]&gt;=5000,Table14[[#This Row],[Revenue]]&lt;=10000),"Medium",Table14[[#This Row],[Revenue]]&lt;5000,"Low")</f>
        <v>Low</v>
      </c>
      <c r="V99" s="3"/>
    </row>
    <row r="100" spans="1:22" x14ac:dyDescent="0.35">
      <c r="A100" s="8">
        <v>1185</v>
      </c>
      <c r="B100" s="2">
        <v>45826</v>
      </c>
      <c r="C100" t="s">
        <v>43</v>
      </c>
      <c r="D100" t="s">
        <v>47</v>
      </c>
      <c r="E100" t="s">
        <v>64</v>
      </c>
      <c r="F100" t="s">
        <v>33</v>
      </c>
      <c r="G100" t="s">
        <v>53</v>
      </c>
      <c r="H100" s="8">
        <v>14</v>
      </c>
      <c r="I100" s="8">
        <v>251.62</v>
      </c>
      <c r="J100" s="8">
        <v>0.15</v>
      </c>
      <c r="K100" s="14">
        <v>2994.28</v>
      </c>
      <c r="L100" t="s">
        <v>19</v>
      </c>
      <c r="M100" t="s">
        <v>26</v>
      </c>
      <c r="N100" s="14">
        <f>Table14[[#This Row],[Quantity]]*Table14[[#This Row],[UnitPrice]]*(1-Table14[[#This Row],[Discount]])</f>
        <v>2994.2780000000002</v>
      </c>
      <c r="O100" s="8">
        <f>YEAR(Table14[[#This Row],[OrderDate]])</f>
        <v>2025</v>
      </c>
      <c r="P100" s="8" t="str">
        <f>TEXT(Table14[[#This Row],[OrderDate]],"mmmm")</f>
        <v>June</v>
      </c>
      <c r="Q100" s="8" t="str">
        <f t="shared" si="3"/>
        <v>Q2</v>
      </c>
      <c r="R100" s="3">
        <f>Table14[[#This Row],[Revenue]]*25%</f>
        <v>748.57</v>
      </c>
      <c r="S100" s="3">
        <f t="shared" si="4"/>
        <v>538.97040000000004</v>
      </c>
      <c r="T100" s="14">
        <f t="shared" si="5"/>
        <v>2455.3096</v>
      </c>
      <c r="U100" s="3" t="str">
        <f t="array" ref="U100">_xlfn.IFS(Table14[[#This Row],[Revenue]]&gt;10000,"High",AND(Table14[[#This Row],[Revenue]]&gt;=5000,Table14[[#This Row],[Revenue]]&lt;=10000),"Medium",Table14[[#This Row],[Revenue]]&lt;5000,"Low")</f>
        <v>Low</v>
      </c>
      <c r="V100" s="3"/>
    </row>
    <row r="101" spans="1:22" x14ac:dyDescent="0.35">
      <c r="A101" s="8">
        <v>1075</v>
      </c>
      <c r="B101" s="2">
        <v>45831</v>
      </c>
      <c r="C101" t="s">
        <v>14</v>
      </c>
      <c r="D101" t="s">
        <v>47</v>
      </c>
      <c r="E101" t="s">
        <v>92</v>
      </c>
      <c r="F101" t="s">
        <v>24</v>
      </c>
      <c r="G101" t="s">
        <v>25</v>
      </c>
      <c r="H101" s="8">
        <v>1</v>
      </c>
      <c r="I101" s="8">
        <v>635.97</v>
      </c>
      <c r="J101" s="8">
        <v>0.15</v>
      </c>
      <c r="K101" s="14">
        <v>540.57000000000005</v>
      </c>
      <c r="L101" t="s">
        <v>35</v>
      </c>
      <c r="M101" t="s">
        <v>20</v>
      </c>
      <c r="N101" s="14">
        <f>Table14[[#This Row],[Quantity]]*Table14[[#This Row],[UnitPrice]]*(1-Table14[[#This Row],[Discount]])</f>
        <v>540.57450000000006</v>
      </c>
      <c r="O101" s="8">
        <f>YEAR(Table14[[#This Row],[OrderDate]])</f>
        <v>2025</v>
      </c>
      <c r="P101" s="8" t="str">
        <f>TEXT(Table14[[#This Row],[OrderDate]],"mmmm")</f>
        <v>June</v>
      </c>
      <c r="Q101" s="8" t="str">
        <f t="shared" si="3"/>
        <v>Q2</v>
      </c>
      <c r="R101" s="3">
        <f>Table14[[#This Row],[Revenue]]*25%</f>
        <v>135.14250000000001</v>
      </c>
      <c r="S101" s="3">
        <f t="shared" si="4"/>
        <v>97.302600000000012</v>
      </c>
      <c r="T101" s="14">
        <f t="shared" si="5"/>
        <v>443.26740000000007</v>
      </c>
      <c r="U101" s="3" t="str">
        <f t="array" ref="U101">_xlfn.IFS(Table14[[#This Row],[Revenue]]&gt;10000,"High",AND(Table14[[#This Row],[Revenue]]&gt;=5000,Table14[[#This Row],[Revenue]]&lt;=10000),"Medium",Table14[[#This Row],[Revenue]]&lt;5000,"Low")</f>
        <v>Low</v>
      </c>
      <c r="V101" s="3"/>
    </row>
    <row r="102" spans="1:22" x14ac:dyDescent="0.35">
      <c r="A102" s="8">
        <v>1212</v>
      </c>
      <c r="B102" s="2">
        <v>45834</v>
      </c>
      <c r="C102" t="s">
        <v>21</v>
      </c>
      <c r="D102" t="s">
        <v>15</v>
      </c>
      <c r="E102" t="s">
        <v>101</v>
      </c>
      <c r="F102" t="s">
        <v>17</v>
      </c>
      <c r="G102" t="s">
        <v>46</v>
      </c>
      <c r="H102" s="8">
        <v>9</v>
      </c>
      <c r="I102" s="8">
        <v>237.52</v>
      </c>
      <c r="J102" s="8">
        <v>0.1</v>
      </c>
      <c r="K102" s="14">
        <v>1923.91</v>
      </c>
      <c r="L102" t="s">
        <v>35</v>
      </c>
      <c r="M102" t="s">
        <v>20</v>
      </c>
      <c r="N102" s="14">
        <f>Table14[[#This Row],[Quantity]]*Table14[[#This Row],[UnitPrice]]*(1-Table14[[#This Row],[Discount]])</f>
        <v>1923.9120000000003</v>
      </c>
      <c r="O102" s="8">
        <f>YEAR(Table14[[#This Row],[OrderDate]])</f>
        <v>2025</v>
      </c>
      <c r="P102" s="8" t="str">
        <f>TEXT(Table14[[#This Row],[OrderDate]],"mmmm")</f>
        <v>June</v>
      </c>
      <c r="Q102" s="8" t="str">
        <f t="shared" si="3"/>
        <v>Q2</v>
      </c>
      <c r="R102" s="3">
        <f>Table14[[#This Row],[Revenue]]*25%</f>
        <v>480.97750000000002</v>
      </c>
      <c r="S102" s="3">
        <f t="shared" si="4"/>
        <v>346.30380000000002</v>
      </c>
      <c r="T102" s="14">
        <f t="shared" si="5"/>
        <v>1577.6062000000002</v>
      </c>
      <c r="U102" s="3" t="str">
        <f t="array" ref="U102">_xlfn.IFS(Table14[[#This Row],[Revenue]]&gt;10000,"High",AND(Table14[[#This Row],[Revenue]]&gt;=5000,Table14[[#This Row],[Revenue]]&lt;=10000),"Medium",Table14[[#This Row],[Revenue]]&lt;5000,"Low")</f>
        <v>Low</v>
      </c>
      <c r="V102" s="3"/>
    </row>
    <row r="103" spans="1:22" x14ac:dyDescent="0.35">
      <c r="A103" s="8">
        <v>1091</v>
      </c>
      <c r="B103" s="2">
        <v>45842</v>
      </c>
      <c r="C103" t="s">
        <v>43</v>
      </c>
      <c r="D103" t="s">
        <v>54</v>
      </c>
      <c r="E103" t="s">
        <v>102</v>
      </c>
      <c r="F103" t="s">
        <v>17</v>
      </c>
      <c r="G103" t="s">
        <v>46</v>
      </c>
      <c r="H103" s="8">
        <v>10</v>
      </c>
      <c r="I103" s="8">
        <v>217.83</v>
      </c>
      <c r="J103" s="8">
        <v>0.05</v>
      </c>
      <c r="K103" s="14">
        <v>2069.39</v>
      </c>
      <c r="L103" t="s">
        <v>39</v>
      </c>
      <c r="M103" t="s">
        <v>20</v>
      </c>
      <c r="N103" s="14">
        <f>Table14[[#This Row],[Quantity]]*Table14[[#This Row],[UnitPrice]]*(1-Table14[[#This Row],[Discount]])</f>
        <v>2069.3850000000002</v>
      </c>
      <c r="O103" s="8">
        <f>YEAR(Table14[[#This Row],[OrderDate]])</f>
        <v>2025</v>
      </c>
      <c r="P103" s="8" t="str">
        <f>TEXT(Table14[[#This Row],[OrderDate]],"mmmm")</f>
        <v>July</v>
      </c>
      <c r="Q103" s="8" t="str">
        <f t="shared" si="3"/>
        <v>Q3</v>
      </c>
      <c r="R103" s="3">
        <f>Table14[[#This Row],[Revenue]]*25%</f>
        <v>517.34749999999997</v>
      </c>
      <c r="S103" s="3">
        <f t="shared" si="4"/>
        <v>372.49019999999996</v>
      </c>
      <c r="T103" s="14">
        <f t="shared" si="5"/>
        <v>1696.8997999999999</v>
      </c>
      <c r="U103" s="3" t="str">
        <f t="array" ref="U103">_xlfn.IFS(Table14[[#This Row],[Revenue]]&gt;10000,"High",AND(Table14[[#This Row],[Revenue]]&gt;=5000,Table14[[#This Row],[Revenue]]&lt;=10000),"Medium",Table14[[#This Row],[Revenue]]&lt;5000,"Low")</f>
        <v>Low</v>
      </c>
      <c r="V103" s="3"/>
    </row>
    <row r="104" spans="1:22" x14ac:dyDescent="0.35">
      <c r="A104" s="8">
        <v>1203</v>
      </c>
      <c r="B104" s="2">
        <v>45843</v>
      </c>
      <c r="C104" t="s">
        <v>27</v>
      </c>
      <c r="D104" t="s">
        <v>15</v>
      </c>
      <c r="E104" t="s">
        <v>95</v>
      </c>
      <c r="F104" t="s">
        <v>24</v>
      </c>
      <c r="G104" t="s">
        <v>38</v>
      </c>
      <c r="H104" s="8">
        <v>3</v>
      </c>
      <c r="I104" s="8">
        <v>872.67</v>
      </c>
      <c r="J104" s="8">
        <v>0.15</v>
      </c>
      <c r="K104" s="14">
        <v>2225.31</v>
      </c>
      <c r="L104" t="s">
        <v>39</v>
      </c>
      <c r="M104" t="s">
        <v>36</v>
      </c>
      <c r="N104" s="14">
        <f>Table14[[#This Row],[Quantity]]*Table14[[#This Row],[UnitPrice]]*(1-Table14[[#This Row],[Discount]])</f>
        <v>2225.3084999999996</v>
      </c>
      <c r="O104" s="8">
        <f>YEAR(Table14[[#This Row],[OrderDate]])</f>
        <v>2025</v>
      </c>
      <c r="P104" s="8" t="str">
        <f>TEXT(Table14[[#This Row],[OrderDate]],"mmmm")</f>
        <v>July</v>
      </c>
      <c r="Q104" s="8" t="str">
        <f t="shared" si="3"/>
        <v>Q3</v>
      </c>
      <c r="R104" s="3">
        <f>Table14[[#This Row],[Revenue]]*25%</f>
        <v>556.32749999999999</v>
      </c>
      <c r="S104" s="3">
        <f t="shared" si="4"/>
        <v>400.55579999999998</v>
      </c>
      <c r="T104" s="14">
        <f t="shared" si="5"/>
        <v>1824.7541999999999</v>
      </c>
      <c r="U104" s="3" t="str">
        <f t="array" ref="U104">_xlfn.IFS(Table14[[#This Row],[Revenue]]&gt;10000,"High",AND(Table14[[#This Row],[Revenue]]&gt;=5000,Table14[[#This Row],[Revenue]]&lt;=10000),"Medium",Table14[[#This Row],[Revenue]]&lt;5000,"Low")</f>
        <v>Low</v>
      </c>
      <c r="V104" s="3"/>
    </row>
    <row r="105" spans="1:22" x14ac:dyDescent="0.35">
      <c r="A105" s="8">
        <v>1168</v>
      </c>
      <c r="B105" s="2">
        <v>45846</v>
      </c>
      <c r="C105" t="s">
        <v>43</v>
      </c>
      <c r="D105" t="s">
        <v>28</v>
      </c>
      <c r="E105" t="s">
        <v>64</v>
      </c>
      <c r="F105" t="s">
        <v>17</v>
      </c>
      <c r="G105" t="s">
        <v>46</v>
      </c>
      <c r="H105" s="8">
        <v>10</v>
      </c>
      <c r="I105" s="8">
        <v>88.83</v>
      </c>
      <c r="J105" s="8">
        <v>0</v>
      </c>
      <c r="K105" s="14">
        <v>888.3</v>
      </c>
      <c r="L105" t="s">
        <v>39</v>
      </c>
      <c r="M105" t="s">
        <v>20</v>
      </c>
      <c r="N105" s="14">
        <f>Table14[[#This Row],[Quantity]]*Table14[[#This Row],[UnitPrice]]*(1-Table14[[#This Row],[Discount]])</f>
        <v>888.3</v>
      </c>
      <c r="O105" s="8">
        <f>YEAR(Table14[[#This Row],[OrderDate]])</f>
        <v>2025</v>
      </c>
      <c r="P105" s="8" t="str">
        <f>TEXT(Table14[[#This Row],[OrderDate]],"mmmm")</f>
        <v>July</v>
      </c>
      <c r="Q105" s="8" t="str">
        <f t="shared" si="3"/>
        <v>Q3</v>
      </c>
      <c r="R105" s="3">
        <f>Table14[[#This Row],[Revenue]]*25%</f>
        <v>222.07499999999999</v>
      </c>
      <c r="S105" s="3">
        <f t="shared" si="4"/>
        <v>159.89399999999998</v>
      </c>
      <c r="T105" s="14">
        <f t="shared" si="5"/>
        <v>728.40599999999995</v>
      </c>
      <c r="U105" s="3" t="str">
        <f t="array" ref="U105">_xlfn.IFS(Table14[[#This Row],[Revenue]]&gt;10000,"High",AND(Table14[[#This Row],[Revenue]]&gt;=5000,Table14[[#This Row],[Revenue]]&lt;=10000),"Medium",Table14[[#This Row],[Revenue]]&lt;5000,"Low")</f>
        <v>Low</v>
      </c>
      <c r="V105" s="3"/>
    </row>
    <row r="106" spans="1:22" x14ac:dyDescent="0.35">
      <c r="A106" s="8">
        <v>1231</v>
      </c>
      <c r="B106" s="2">
        <v>45847</v>
      </c>
      <c r="C106" t="s">
        <v>27</v>
      </c>
      <c r="D106" t="s">
        <v>15</v>
      </c>
      <c r="E106" t="s">
        <v>49</v>
      </c>
      <c r="F106" t="s">
        <v>24</v>
      </c>
      <c r="G106" t="s">
        <v>25</v>
      </c>
      <c r="H106" s="8">
        <v>2</v>
      </c>
      <c r="I106" s="8">
        <v>861.52</v>
      </c>
      <c r="J106" s="8">
        <v>0.15</v>
      </c>
      <c r="K106" s="14">
        <v>1464.58</v>
      </c>
      <c r="L106" t="s">
        <v>39</v>
      </c>
      <c r="M106" t="s">
        <v>36</v>
      </c>
      <c r="N106" s="14">
        <f>Table14[[#This Row],[Quantity]]*Table14[[#This Row],[UnitPrice]]*(1-Table14[[#This Row],[Discount]])</f>
        <v>1464.5839999999998</v>
      </c>
      <c r="O106" s="8">
        <f>YEAR(Table14[[#This Row],[OrderDate]])</f>
        <v>2025</v>
      </c>
      <c r="P106" s="8" t="str">
        <f>TEXT(Table14[[#This Row],[OrderDate]],"mmmm")</f>
        <v>July</v>
      </c>
      <c r="Q106" s="8" t="str">
        <f t="shared" si="3"/>
        <v>Q3</v>
      </c>
      <c r="R106" s="3">
        <f>Table14[[#This Row],[Revenue]]*25%</f>
        <v>366.14499999999998</v>
      </c>
      <c r="S106" s="3">
        <f t="shared" si="4"/>
        <v>263.62439999999998</v>
      </c>
      <c r="T106" s="14">
        <f t="shared" si="5"/>
        <v>1200.9556</v>
      </c>
      <c r="U106" s="3" t="str">
        <f t="array" ref="U106">_xlfn.IFS(Table14[[#This Row],[Revenue]]&gt;10000,"High",AND(Table14[[#This Row],[Revenue]]&gt;=5000,Table14[[#This Row],[Revenue]]&lt;=10000),"Medium",Table14[[#This Row],[Revenue]]&lt;5000,"Low")</f>
        <v>Low</v>
      </c>
      <c r="V106" s="3"/>
    </row>
    <row r="107" spans="1:22" x14ac:dyDescent="0.35">
      <c r="A107" s="8">
        <v>1030</v>
      </c>
      <c r="B107" s="2">
        <v>45849</v>
      </c>
      <c r="C107" t="s">
        <v>43</v>
      </c>
      <c r="D107" t="s">
        <v>22</v>
      </c>
      <c r="E107" t="s">
        <v>103</v>
      </c>
      <c r="F107" t="s">
        <v>17</v>
      </c>
      <c r="G107" t="s">
        <v>46</v>
      </c>
      <c r="H107" s="8">
        <v>2</v>
      </c>
      <c r="I107" s="8">
        <v>133.96</v>
      </c>
      <c r="J107" s="8">
        <v>0.15</v>
      </c>
      <c r="K107" s="14">
        <v>227.73</v>
      </c>
      <c r="L107" t="s">
        <v>35</v>
      </c>
      <c r="M107" t="s">
        <v>36</v>
      </c>
      <c r="N107" s="14">
        <f>Table14[[#This Row],[Quantity]]*Table14[[#This Row],[UnitPrice]]*(1-Table14[[#This Row],[Discount]])</f>
        <v>227.732</v>
      </c>
      <c r="O107" s="8">
        <f>YEAR(Table14[[#This Row],[OrderDate]])</f>
        <v>2025</v>
      </c>
      <c r="P107" s="8" t="str">
        <f>TEXT(Table14[[#This Row],[OrderDate]],"mmmm")</f>
        <v>July</v>
      </c>
      <c r="Q107" s="8" t="str">
        <f t="shared" si="3"/>
        <v>Q3</v>
      </c>
      <c r="R107" s="3">
        <f>Table14[[#This Row],[Revenue]]*25%</f>
        <v>56.932499999999997</v>
      </c>
      <c r="S107" s="3">
        <f t="shared" si="4"/>
        <v>40.991399999999999</v>
      </c>
      <c r="T107" s="14">
        <f t="shared" si="5"/>
        <v>186.73859999999999</v>
      </c>
      <c r="U107" s="3" t="str">
        <f t="array" ref="U107">_xlfn.IFS(Table14[[#This Row],[Revenue]]&gt;10000,"High",AND(Table14[[#This Row],[Revenue]]&gt;=5000,Table14[[#This Row],[Revenue]]&lt;=10000),"Medium",Table14[[#This Row],[Revenue]]&lt;5000,"Low")</f>
        <v>Low</v>
      </c>
      <c r="V107" s="3"/>
    </row>
    <row r="108" spans="1:22" x14ac:dyDescent="0.35">
      <c r="A108" s="8">
        <v>1108</v>
      </c>
      <c r="B108" s="2">
        <v>45849</v>
      </c>
      <c r="C108" t="s">
        <v>14</v>
      </c>
      <c r="D108" t="s">
        <v>54</v>
      </c>
      <c r="E108" t="s">
        <v>100</v>
      </c>
      <c r="F108" t="s">
        <v>17</v>
      </c>
      <c r="G108" t="s">
        <v>18</v>
      </c>
      <c r="H108" s="8">
        <v>6</v>
      </c>
      <c r="I108" s="8">
        <v>218.18</v>
      </c>
      <c r="J108" s="8">
        <v>0.05</v>
      </c>
      <c r="K108" s="14">
        <v>1243.6300000000001</v>
      </c>
      <c r="L108" t="s">
        <v>19</v>
      </c>
      <c r="M108" t="s">
        <v>26</v>
      </c>
      <c r="N108" s="14">
        <f>Table14[[#This Row],[Quantity]]*Table14[[#This Row],[UnitPrice]]*(1-Table14[[#This Row],[Discount]])</f>
        <v>1243.626</v>
      </c>
      <c r="O108" s="8">
        <f>YEAR(Table14[[#This Row],[OrderDate]])</f>
        <v>2025</v>
      </c>
      <c r="P108" s="8" t="str">
        <f>TEXT(Table14[[#This Row],[OrderDate]],"mmmm")</f>
        <v>July</v>
      </c>
      <c r="Q108" s="8" t="str">
        <f t="shared" si="3"/>
        <v>Q3</v>
      </c>
      <c r="R108" s="3">
        <f>Table14[[#This Row],[Revenue]]*25%</f>
        <v>310.90750000000003</v>
      </c>
      <c r="S108" s="3">
        <f t="shared" si="4"/>
        <v>223.85340000000002</v>
      </c>
      <c r="T108" s="14">
        <f t="shared" si="5"/>
        <v>1019.7766000000001</v>
      </c>
      <c r="U108" s="3" t="str">
        <f t="array" ref="U108">_xlfn.IFS(Table14[[#This Row],[Revenue]]&gt;10000,"High",AND(Table14[[#This Row],[Revenue]]&gt;=5000,Table14[[#This Row],[Revenue]]&lt;=10000),"Medium",Table14[[#This Row],[Revenue]]&lt;5000,"Low")</f>
        <v>Low</v>
      </c>
      <c r="V108" s="3"/>
    </row>
    <row r="109" spans="1:22" x14ac:dyDescent="0.35">
      <c r="A109" s="8">
        <v>1240</v>
      </c>
      <c r="B109" s="2">
        <v>45850</v>
      </c>
      <c r="C109" t="s">
        <v>43</v>
      </c>
      <c r="D109" t="s">
        <v>28</v>
      </c>
      <c r="E109" t="s">
        <v>32</v>
      </c>
      <c r="F109" t="s">
        <v>17</v>
      </c>
      <c r="G109" t="s">
        <v>46</v>
      </c>
      <c r="H109" s="8">
        <v>9</v>
      </c>
      <c r="I109" s="8">
        <v>904.81</v>
      </c>
      <c r="J109" s="8">
        <v>0.05</v>
      </c>
      <c r="K109" s="14">
        <v>7736.13</v>
      </c>
      <c r="L109" t="s">
        <v>35</v>
      </c>
      <c r="M109" t="s">
        <v>26</v>
      </c>
      <c r="N109" s="14">
        <f>Table14[[#This Row],[Quantity]]*Table14[[#This Row],[UnitPrice]]*(1-Table14[[#This Row],[Discount]])</f>
        <v>7736.1254999999992</v>
      </c>
      <c r="O109" s="8">
        <f>YEAR(Table14[[#This Row],[OrderDate]])</f>
        <v>2025</v>
      </c>
      <c r="P109" s="8" t="str">
        <f>TEXT(Table14[[#This Row],[OrderDate]],"mmmm")</f>
        <v>July</v>
      </c>
      <c r="Q109" s="8" t="str">
        <f t="shared" si="3"/>
        <v>Q3</v>
      </c>
      <c r="R109" s="3">
        <f>Table14[[#This Row],[Revenue]]*25%</f>
        <v>1934.0325</v>
      </c>
      <c r="S109" s="3">
        <f t="shared" si="4"/>
        <v>1392.5034000000001</v>
      </c>
      <c r="T109" s="14">
        <f t="shared" si="5"/>
        <v>6343.6265999999996</v>
      </c>
      <c r="U109" s="3" t="str">
        <f t="array" ref="U109">_xlfn.IFS(Table14[[#This Row],[Revenue]]&gt;10000,"High",AND(Table14[[#This Row],[Revenue]]&gt;=5000,Table14[[#This Row],[Revenue]]&lt;=10000),"Medium",Table14[[#This Row],[Revenue]]&lt;5000,"Low")</f>
        <v>Medium</v>
      </c>
      <c r="V109" s="3"/>
    </row>
    <row r="110" spans="1:22" x14ac:dyDescent="0.35">
      <c r="A110" s="8">
        <v>1172</v>
      </c>
      <c r="B110" s="2">
        <v>45852</v>
      </c>
      <c r="C110" t="s">
        <v>27</v>
      </c>
      <c r="D110" t="s">
        <v>22</v>
      </c>
      <c r="E110" t="s">
        <v>65</v>
      </c>
      <c r="F110" t="s">
        <v>33</v>
      </c>
      <c r="G110" t="s">
        <v>61</v>
      </c>
      <c r="H110" s="8">
        <v>6</v>
      </c>
      <c r="I110" s="8">
        <v>373.19</v>
      </c>
      <c r="J110" s="8">
        <v>0</v>
      </c>
      <c r="K110" s="14">
        <v>2239.14</v>
      </c>
      <c r="L110" t="s">
        <v>19</v>
      </c>
      <c r="M110" t="s">
        <v>36</v>
      </c>
      <c r="N110" s="14">
        <f>Table14[[#This Row],[Quantity]]*Table14[[#This Row],[UnitPrice]]*(1-Table14[[#This Row],[Discount]])</f>
        <v>2239.14</v>
      </c>
      <c r="O110" s="8">
        <f>YEAR(Table14[[#This Row],[OrderDate]])</f>
        <v>2025</v>
      </c>
      <c r="P110" s="8" t="str">
        <f>TEXT(Table14[[#This Row],[OrderDate]],"mmmm")</f>
        <v>July</v>
      </c>
      <c r="Q110" s="8" t="str">
        <f t="shared" si="3"/>
        <v>Q3</v>
      </c>
      <c r="R110" s="3">
        <f>Table14[[#This Row],[Revenue]]*25%</f>
        <v>559.78499999999997</v>
      </c>
      <c r="S110" s="3">
        <f t="shared" si="4"/>
        <v>403.04519999999997</v>
      </c>
      <c r="T110" s="14">
        <f t="shared" si="5"/>
        <v>1836.0947999999999</v>
      </c>
      <c r="U110" s="3" t="str">
        <f t="array" ref="U110">_xlfn.IFS(Table14[[#This Row],[Revenue]]&gt;10000,"High",AND(Table14[[#This Row],[Revenue]]&gt;=5000,Table14[[#This Row],[Revenue]]&lt;=10000),"Medium",Table14[[#This Row],[Revenue]]&lt;5000,"Low")</f>
        <v>Low</v>
      </c>
      <c r="V110" s="3"/>
    </row>
    <row r="111" spans="1:22" x14ac:dyDescent="0.35">
      <c r="A111" s="8">
        <v>1201</v>
      </c>
      <c r="B111" s="2">
        <v>45852</v>
      </c>
      <c r="C111" t="s">
        <v>27</v>
      </c>
      <c r="D111" t="s">
        <v>22</v>
      </c>
      <c r="E111" t="s">
        <v>75</v>
      </c>
      <c r="F111" t="s">
        <v>24</v>
      </c>
      <c r="G111" t="s">
        <v>63</v>
      </c>
      <c r="H111" s="8">
        <v>7</v>
      </c>
      <c r="I111" s="8">
        <v>143.31</v>
      </c>
      <c r="J111" s="8">
        <v>0.1</v>
      </c>
      <c r="K111" s="14">
        <v>902.85</v>
      </c>
      <c r="L111" t="s">
        <v>19</v>
      </c>
      <c r="M111" t="s">
        <v>20</v>
      </c>
      <c r="N111" s="14">
        <f>Table14[[#This Row],[Quantity]]*Table14[[#This Row],[UnitPrice]]*(1-Table14[[#This Row],[Discount]])</f>
        <v>902.85300000000007</v>
      </c>
      <c r="O111" s="8">
        <f>YEAR(Table14[[#This Row],[OrderDate]])</f>
        <v>2025</v>
      </c>
      <c r="P111" s="8" t="str">
        <f>TEXT(Table14[[#This Row],[OrderDate]],"mmmm")</f>
        <v>July</v>
      </c>
      <c r="Q111" s="8" t="str">
        <f t="shared" si="3"/>
        <v>Q3</v>
      </c>
      <c r="R111" s="3">
        <f>Table14[[#This Row],[Revenue]]*25%</f>
        <v>225.71250000000001</v>
      </c>
      <c r="S111" s="3">
        <f t="shared" si="4"/>
        <v>162.51300000000001</v>
      </c>
      <c r="T111" s="14">
        <f t="shared" si="5"/>
        <v>740.33699999999999</v>
      </c>
      <c r="U111" s="3" t="str">
        <f t="array" ref="U111">_xlfn.IFS(Table14[[#This Row],[Revenue]]&gt;10000,"High",AND(Table14[[#This Row],[Revenue]]&gt;=5000,Table14[[#This Row],[Revenue]]&lt;=10000),"Medium",Table14[[#This Row],[Revenue]]&lt;5000,"Low")</f>
        <v>Low</v>
      </c>
      <c r="V111" s="3"/>
    </row>
    <row r="112" spans="1:22" x14ac:dyDescent="0.35">
      <c r="A112" s="8">
        <v>1086</v>
      </c>
      <c r="B112" s="2">
        <v>45857</v>
      </c>
      <c r="C112" t="s">
        <v>27</v>
      </c>
      <c r="D112" t="s">
        <v>15</v>
      </c>
      <c r="E112" t="s">
        <v>77</v>
      </c>
      <c r="F112" t="s">
        <v>17</v>
      </c>
      <c r="G112" t="s">
        <v>18</v>
      </c>
      <c r="H112" s="8">
        <v>13</v>
      </c>
      <c r="I112" s="8">
        <v>1182.2</v>
      </c>
      <c r="J112" s="8">
        <v>0.15</v>
      </c>
      <c r="K112" s="14">
        <v>13063.31</v>
      </c>
      <c r="L112" t="s">
        <v>39</v>
      </c>
      <c r="M112" t="s">
        <v>26</v>
      </c>
      <c r="N112" s="14">
        <f>Table14[[#This Row],[Quantity]]*Table14[[#This Row],[UnitPrice]]*(1-Table14[[#This Row],[Discount]])</f>
        <v>13063.31</v>
      </c>
      <c r="O112" s="8">
        <f>YEAR(Table14[[#This Row],[OrderDate]])</f>
        <v>2025</v>
      </c>
      <c r="P112" s="8" t="str">
        <f>TEXT(Table14[[#This Row],[OrderDate]],"mmmm")</f>
        <v>July</v>
      </c>
      <c r="Q112" s="8" t="str">
        <f t="shared" si="3"/>
        <v>Q3</v>
      </c>
      <c r="R112" s="3">
        <f>Table14[[#This Row],[Revenue]]*25%</f>
        <v>3265.8274999999999</v>
      </c>
      <c r="S112" s="3">
        <f t="shared" si="4"/>
        <v>2351.3957999999998</v>
      </c>
      <c r="T112" s="14">
        <f t="shared" si="5"/>
        <v>10711.914199999999</v>
      </c>
      <c r="U112" s="3" t="str">
        <f t="array" ref="U112">_xlfn.IFS(Table14[[#This Row],[Revenue]]&gt;10000,"High",AND(Table14[[#This Row],[Revenue]]&gt;=5000,Table14[[#This Row],[Revenue]]&lt;=10000),"Medium",Table14[[#This Row],[Revenue]]&lt;5000,"Low")</f>
        <v>High</v>
      </c>
      <c r="V112" s="3"/>
    </row>
    <row r="113" spans="1:22" x14ac:dyDescent="0.35">
      <c r="A113" s="8">
        <v>1072</v>
      </c>
      <c r="B113" s="2">
        <v>45858</v>
      </c>
      <c r="C113" t="s">
        <v>43</v>
      </c>
      <c r="D113" t="s">
        <v>22</v>
      </c>
      <c r="E113" t="s">
        <v>81</v>
      </c>
      <c r="F113" t="s">
        <v>24</v>
      </c>
      <c r="G113" t="s">
        <v>25</v>
      </c>
      <c r="H113" s="8">
        <v>2</v>
      </c>
      <c r="I113" s="8">
        <v>680.25</v>
      </c>
      <c r="J113" s="8">
        <v>0.05</v>
      </c>
      <c r="K113" s="14">
        <v>1292.47</v>
      </c>
      <c r="L113" t="s">
        <v>19</v>
      </c>
      <c r="M113" t="s">
        <v>36</v>
      </c>
      <c r="N113" s="14">
        <f>Table14[[#This Row],[Quantity]]*Table14[[#This Row],[UnitPrice]]*(1-Table14[[#This Row],[Discount]])</f>
        <v>1292.4749999999999</v>
      </c>
      <c r="O113" s="8">
        <f>YEAR(Table14[[#This Row],[OrderDate]])</f>
        <v>2025</v>
      </c>
      <c r="P113" s="8" t="str">
        <f>TEXT(Table14[[#This Row],[OrderDate]],"mmmm")</f>
        <v>July</v>
      </c>
      <c r="Q113" s="8" t="str">
        <f t="shared" si="3"/>
        <v>Q3</v>
      </c>
      <c r="R113" s="3">
        <f>Table14[[#This Row],[Revenue]]*25%</f>
        <v>323.11750000000001</v>
      </c>
      <c r="S113" s="3">
        <f t="shared" si="4"/>
        <v>232.6446</v>
      </c>
      <c r="T113" s="14">
        <f t="shared" si="5"/>
        <v>1059.8253999999999</v>
      </c>
      <c r="U113" s="3" t="str">
        <f t="array" ref="U113">_xlfn.IFS(Table14[[#This Row],[Revenue]]&gt;10000,"High",AND(Table14[[#This Row],[Revenue]]&gt;=5000,Table14[[#This Row],[Revenue]]&lt;=10000),"Medium",Table14[[#This Row],[Revenue]]&lt;5000,"Low")</f>
        <v>Low</v>
      </c>
      <c r="V113" s="3"/>
    </row>
    <row r="114" spans="1:22" x14ac:dyDescent="0.35">
      <c r="A114" s="8">
        <v>1066</v>
      </c>
      <c r="B114" s="2">
        <v>45861</v>
      </c>
      <c r="C114" t="s">
        <v>21</v>
      </c>
      <c r="D114" t="s">
        <v>31</v>
      </c>
      <c r="E114" t="s">
        <v>69</v>
      </c>
      <c r="F114" t="s">
        <v>33</v>
      </c>
      <c r="G114" t="s">
        <v>61</v>
      </c>
      <c r="H114" s="8">
        <v>4</v>
      </c>
      <c r="I114" s="8">
        <v>234.87</v>
      </c>
      <c r="J114" s="8">
        <v>0</v>
      </c>
      <c r="K114" s="14">
        <v>939.48</v>
      </c>
      <c r="L114" t="s">
        <v>19</v>
      </c>
      <c r="M114" t="s">
        <v>36</v>
      </c>
      <c r="N114" s="14">
        <f>Table14[[#This Row],[Quantity]]*Table14[[#This Row],[UnitPrice]]*(1-Table14[[#This Row],[Discount]])</f>
        <v>939.48</v>
      </c>
      <c r="O114" s="8">
        <f>YEAR(Table14[[#This Row],[OrderDate]])</f>
        <v>2025</v>
      </c>
      <c r="P114" s="8" t="str">
        <f>TEXT(Table14[[#This Row],[OrderDate]],"mmmm")</f>
        <v>July</v>
      </c>
      <c r="Q114" s="8" t="str">
        <f t="shared" si="3"/>
        <v>Q3</v>
      </c>
      <c r="R114" s="3">
        <f>Table14[[#This Row],[Revenue]]*25%</f>
        <v>234.87</v>
      </c>
      <c r="S114" s="3">
        <f t="shared" si="4"/>
        <v>169.10640000000001</v>
      </c>
      <c r="T114" s="14">
        <f t="shared" si="5"/>
        <v>770.37360000000001</v>
      </c>
      <c r="U114" s="3" t="str">
        <f t="array" ref="U114">_xlfn.IFS(Table14[[#This Row],[Revenue]]&gt;10000,"High",AND(Table14[[#This Row],[Revenue]]&gt;=5000,Table14[[#This Row],[Revenue]]&lt;=10000),"Medium",Table14[[#This Row],[Revenue]]&lt;5000,"Low")</f>
        <v>Low</v>
      </c>
      <c r="V114" s="3"/>
    </row>
    <row r="115" spans="1:22" x14ac:dyDescent="0.35">
      <c r="A115" s="8">
        <v>1298</v>
      </c>
      <c r="B115" s="2">
        <v>45861</v>
      </c>
      <c r="C115" t="s">
        <v>21</v>
      </c>
      <c r="D115" t="s">
        <v>22</v>
      </c>
      <c r="E115" t="s">
        <v>72</v>
      </c>
      <c r="F115" t="s">
        <v>33</v>
      </c>
      <c r="G115" t="s">
        <v>61</v>
      </c>
      <c r="H115" s="8">
        <v>8</v>
      </c>
      <c r="I115" s="8">
        <v>252.2</v>
      </c>
      <c r="J115" s="8">
        <v>0</v>
      </c>
      <c r="K115" s="14">
        <v>2017.6</v>
      </c>
      <c r="L115" t="s">
        <v>35</v>
      </c>
      <c r="M115" t="s">
        <v>20</v>
      </c>
      <c r="N115" s="14">
        <f>Table14[[#This Row],[Quantity]]*Table14[[#This Row],[UnitPrice]]*(1-Table14[[#This Row],[Discount]])</f>
        <v>2017.6</v>
      </c>
      <c r="O115" s="8">
        <f>YEAR(Table14[[#This Row],[OrderDate]])</f>
        <v>2025</v>
      </c>
      <c r="P115" s="8" t="str">
        <f>TEXT(Table14[[#This Row],[OrderDate]],"mmmm")</f>
        <v>July</v>
      </c>
      <c r="Q115" s="8" t="str">
        <f t="shared" si="3"/>
        <v>Q3</v>
      </c>
      <c r="R115" s="3">
        <f>Table14[[#This Row],[Revenue]]*25%</f>
        <v>504.4</v>
      </c>
      <c r="S115" s="3">
        <f t="shared" si="4"/>
        <v>363.16799999999995</v>
      </c>
      <c r="T115" s="14">
        <f t="shared" si="5"/>
        <v>1654.432</v>
      </c>
      <c r="U115" s="3" t="str">
        <f t="array" ref="U115">_xlfn.IFS(Table14[[#This Row],[Revenue]]&gt;10000,"High",AND(Table14[[#This Row],[Revenue]]&gt;=5000,Table14[[#This Row],[Revenue]]&lt;=10000),"Medium",Table14[[#This Row],[Revenue]]&lt;5000,"Low")</f>
        <v>Low</v>
      </c>
      <c r="V115" s="3"/>
    </row>
    <row r="116" spans="1:22" x14ac:dyDescent="0.35">
      <c r="A116" s="8">
        <v>1036</v>
      </c>
      <c r="B116" s="2">
        <v>45862</v>
      </c>
      <c r="C116" t="s">
        <v>14</v>
      </c>
      <c r="D116" t="s">
        <v>31</v>
      </c>
      <c r="E116" t="s">
        <v>99</v>
      </c>
      <c r="F116" t="s">
        <v>17</v>
      </c>
      <c r="G116" t="s">
        <v>46</v>
      </c>
      <c r="H116" s="8">
        <v>15</v>
      </c>
      <c r="I116" s="8">
        <v>523.6</v>
      </c>
      <c r="J116" s="8">
        <v>0.05</v>
      </c>
      <c r="K116" s="14">
        <v>7461.3</v>
      </c>
      <c r="L116" t="s">
        <v>35</v>
      </c>
      <c r="M116" t="s">
        <v>20</v>
      </c>
      <c r="N116" s="14">
        <f>Table14[[#This Row],[Quantity]]*Table14[[#This Row],[UnitPrice]]*(1-Table14[[#This Row],[Discount]])</f>
        <v>7461.2999999999993</v>
      </c>
      <c r="O116" s="8">
        <f>YEAR(Table14[[#This Row],[OrderDate]])</f>
        <v>2025</v>
      </c>
      <c r="P116" s="8" t="str">
        <f>TEXT(Table14[[#This Row],[OrderDate]],"mmmm")</f>
        <v>July</v>
      </c>
      <c r="Q116" s="8" t="str">
        <f t="shared" si="3"/>
        <v>Q3</v>
      </c>
      <c r="R116" s="3">
        <f>Table14[[#This Row],[Revenue]]*25%</f>
        <v>1865.325</v>
      </c>
      <c r="S116" s="3">
        <f t="shared" si="4"/>
        <v>1343.0339999999999</v>
      </c>
      <c r="T116" s="14">
        <f t="shared" si="5"/>
        <v>6118.2660000000005</v>
      </c>
      <c r="U116" s="3" t="str">
        <f t="array" ref="U116">_xlfn.IFS(Table14[[#This Row],[Revenue]]&gt;10000,"High",AND(Table14[[#This Row],[Revenue]]&gt;=5000,Table14[[#This Row],[Revenue]]&lt;=10000),"Medium",Table14[[#This Row],[Revenue]]&lt;5000,"Low")</f>
        <v>Medium</v>
      </c>
      <c r="V116" s="3"/>
    </row>
    <row r="117" spans="1:22" x14ac:dyDescent="0.35">
      <c r="A117" s="8">
        <v>1037</v>
      </c>
      <c r="B117" s="2">
        <v>45864</v>
      </c>
      <c r="C117" t="s">
        <v>21</v>
      </c>
      <c r="D117" t="s">
        <v>28</v>
      </c>
      <c r="E117" t="s">
        <v>104</v>
      </c>
      <c r="F117" t="s">
        <v>33</v>
      </c>
      <c r="G117" t="s">
        <v>34</v>
      </c>
      <c r="H117" s="8">
        <v>12</v>
      </c>
      <c r="I117" s="8">
        <v>922.9</v>
      </c>
      <c r="J117" s="8">
        <v>0.15</v>
      </c>
      <c r="K117" s="14">
        <v>9413.58</v>
      </c>
      <c r="L117" t="s">
        <v>35</v>
      </c>
      <c r="M117" t="s">
        <v>26</v>
      </c>
      <c r="N117" s="14">
        <f>Table14[[#This Row],[Quantity]]*Table14[[#This Row],[UnitPrice]]*(1-Table14[[#This Row],[Discount]])</f>
        <v>9413.58</v>
      </c>
      <c r="O117" s="8">
        <f>YEAR(Table14[[#This Row],[OrderDate]])</f>
        <v>2025</v>
      </c>
      <c r="P117" s="8" t="str">
        <f>TEXT(Table14[[#This Row],[OrderDate]],"mmmm")</f>
        <v>July</v>
      </c>
      <c r="Q117" s="8" t="str">
        <f t="shared" si="3"/>
        <v>Q3</v>
      </c>
      <c r="R117" s="3">
        <f>Table14[[#This Row],[Revenue]]*25%</f>
        <v>2353.395</v>
      </c>
      <c r="S117" s="3">
        <f t="shared" si="4"/>
        <v>1694.4443999999999</v>
      </c>
      <c r="T117" s="14">
        <f t="shared" si="5"/>
        <v>7719.1355999999996</v>
      </c>
      <c r="U117" s="3" t="str">
        <f t="array" ref="U117">_xlfn.IFS(Table14[[#This Row],[Revenue]]&gt;10000,"High",AND(Table14[[#This Row],[Revenue]]&gt;=5000,Table14[[#This Row],[Revenue]]&lt;=10000),"Medium",Table14[[#This Row],[Revenue]]&lt;5000,"Low")</f>
        <v>Medium</v>
      </c>
      <c r="V117" s="3"/>
    </row>
    <row r="118" spans="1:22" x14ac:dyDescent="0.35">
      <c r="A118" s="8">
        <v>1062</v>
      </c>
      <c r="B118" s="2">
        <v>45864</v>
      </c>
      <c r="C118" t="s">
        <v>43</v>
      </c>
      <c r="D118" t="s">
        <v>15</v>
      </c>
      <c r="E118" t="s">
        <v>79</v>
      </c>
      <c r="F118" t="s">
        <v>24</v>
      </c>
      <c r="G118" t="s">
        <v>38</v>
      </c>
      <c r="H118" s="8">
        <v>11</v>
      </c>
      <c r="I118" s="8">
        <v>348.91</v>
      </c>
      <c r="J118" s="8">
        <v>0.1</v>
      </c>
      <c r="K118" s="14">
        <v>3454.21</v>
      </c>
      <c r="L118" t="s">
        <v>39</v>
      </c>
      <c r="M118" t="s">
        <v>36</v>
      </c>
      <c r="N118" s="14">
        <f>Table14[[#This Row],[Quantity]]*Table14[[#This Row],[UnitPrice]]*(1-Table14[[#This Row],[Discount]])</f>
        <v>3454.2090000000003</v>
      </c>
      <c r="O118" s="8">
        <f>YEAR(Table14[[#This Row],[OrderDate]])</f>
        <v>2025</v>
      </c>
      <c r="P118" s="8" t="str">
        <f>TEXT(Table14[[#This Row],[OrderDate]],"mmmm")</f>
        <v>July</v>
      </c>
      <c r="Q118" s="8" t="str">
        <f t="shared" si="3"/>
        <v>Q3</v>
      </c>
      <c r="R118" s="3">
        <f>Table14[[#This Row],[Revenue]]*25%</f>
        <v>863.55250000000001</v>
      </c>
      <c r="S118" s="3">
        <f t="shared" si="4"/>
        <v>621.75779999999997</v>
      </c>
      <c r="T118" s="14">
        <f t="shared" si="5"/>
        <v>2832.4522000000002</v>
      </c>
      <c r="U118" s="3" t="str">
        <f t="array" ref="U118">_xlfn.IFS(Table14[[#This Row],[Revenue]]&gt;10000,"High",AND(Table14[[#This Row],[Revenue]]&gt;=5000,Table14[[#This Row],[Revenue]]&lt;=10000),"Medium",Table14[[#This Row],[Revenue]]&lt;5000,"Low")</f>
        <v>Low</v>
      </c>
      <c r="V118" s="3"/>
    </row>
    <row r="119" spans="1:22" x14ac:dyDescent="0.35">
      <c r="A119" s="8">
        <v>1219</v>
      </c>
      <c r="B119" s="2">
        <v>45866</v>
      </c>
      <c r="C119" t="s">
        <v>43</v>
      </c>
      <c r="D119" t="s">
        <v>28</v>
      </c>
      <c r="E119" t="s">
        <v>87</v>
      </c>
      <c r="F119" t="s">
        <v>17</v>
      </c>
      <c r="G119" t="s">
        <v>30</v>
      </c>
      <c r="H119" s="8">
        <v>10</v>
      </c>
      <c r="I119" s="8">
        <v>364.63</v>
      </c>
      <c r="J119" s="8">
        <v>0.1</v>
      </c>
      <c r="K119" s="14">
        <v>3281.67</v>
      </c>
      <c r="L119" t="s">
        <v>19</v>
      </c>
      <c r="M119" t="s">
        <v>36</v>
      </c>
      <c r="N119" s="14">
        <f>Table14[[#This Row],[Quantity]]*Table14[[#This Row],[UnitPrice]]*(1-Table14[[#This Row],[Discount]])</f>
        <v>3281.67</v>
      </c>
      <c r="O119" s="8">
        <f>YEAR(Table14[[#This Row],[OrderDate]])</f>
        <v>2025</v>
      </c>
      <c r="P119" s="8" t="str">
        <f>TEXT(Table14[[#This Row],[OrderDate]],"mmmm")</f>
        <v>July</v>
      </c>
      <c r="Q119" s="8" t="str">
        <f t="shared" si="3"/>
        <v>Q3</v>
      </c>
      <c r="R119" s="3">
        <f>Table14[[#This Row],[Revenue]]*25%</f>
        <v>820.41750000000002</v>
      </c>
      <c r="S119" s="3">
        <f t="shared" si="4"/>
        <v>590.70060000000001</v>
      </c>
      <c r="T119" s="14">
        <f t="shared" si="5"/>
        <v>2690.9694</v>
      </c>
      <c r="U119" s="3" t="str">
        <f t="array" ref="U119">_xlfn.IFS(Table14[[#This Row],[Revenue]]&gt;10000,"High",AND(Table14[[#This Row],[Revenue]]&gt;=5000,Table14[[#This Row],[Revenue]]&lt;=10000),"Medium",Table14[[#This Row],[Revenue]]&lt;5000,"Low")</f>
        <v>Low</v>
      </c>
      <c r="V119" s="3"/>
    </row>
    <row r="120" spans="1:22" x14ac:dyDescent="0.35">
      <c r="A120" s="8">
        <v>1064</v>
      </c>
      <c r="B120" s="2">
        <v>45867</v>
      </c>
      <c r="C120" t="s">
        <v>43</v>
      </c>
      <c r="D120" t="s">
        <v>22</v>
      </c>
      <c r="E120" t="s">
        <v>98</v>
      </c>
      <c r="F120" t="s">
        <v>17</v>
      </c>
      <c r="G120" t="s">
        <v>30</v>
      </c>
      <c r="H120" s="8">
        <v>11</v>
      </c>
      <c r="I120" s="8">
        <v>270.94</v>
      </c>
      <c r="J120" s="8">
        <v>0.1</v>
      </c>
      <c r="K120" s="14">
        <v>2682.31</v>
      </c>
      <c r="L120" t="s">
        <v>19</v>
      </c>
      <c r="M120" t="s">
        <v>20</v>
      </c>
      <c r="N120" s="14">
        <f>Table14[[#This Row],[Quantity]]*Table14[[#This Row],[UnitPrice]]*(1-Table14[[#This Row],[Discount]])</f>
        <v>2682.306</v>
      </c>
      <c r="O120" s="8">
        <f>YEAR(Table14[[#This Row],[OrderDate]])</f>
        <v>2025</v>
      </c>
      <c r="P120" s="8" t="str">
        <f>TEXT(Table14[[#This Row],[OrderDate]],"mmmm")</f>
        <v>July</v>
      </c>
      <c r="Q120" s="8" t="str">
        <f t="shared" si="3"/>
        <v>Q3</v>
      </c>
      <c r="R120" s="3">
        <f>Table14[[#This Row],[Revenue]]*25%</f>
        <v>670.57749999999999</v>
      </c>
      <c r="S120" s="3">
        <f t="shared" si="4"/>
        <v>482.81579999999997</v>
      </c>
      <c r="T120" s="14">
        <f t="shared" si="5"/>
        <v>2199.4942000000001</v>
      </c>
      <c r="U120" s="3" t="str">
        <f t="array" ref="U120">_xlfn.IFS(Table14[[#This Row],[Revenue]]&gt;10000,"High",AND(Table14[[#This Row],[Revenue]]&gt;=5000,Table14[[#This Row],[Revenue]]&lt;=10000),"Medium",Table14[[#This Row],[Revenue]]&lt;5000,"Low")</f>
        <v>Low</v>
      </c>
      <c r="V120" s="3"/>
    </row>
    <row r="121" spans="1:22" x14ac:dyDescent="0.35">
      <c r="A121" s="8">
        <v>1193</v>
      </c>
      <c r="B121" s="2">
        <v>45869</v>
      </c>
      <c r="C121" t="s">
        <v>43</v>
      </c>
      <c r="D121" t="s">
        <v>28</v>
      </c>
      <c r="E121" t="s">
        <v>79</v>
      </c>
      <c r="F121" t="s">
        <v>24</v>
      </c>
      <c r="G121" t="s">
        <v>25</v>
      </c>
      <c r="H121" s="8">
        <v>11</v>
      </c>
      <c r="I121" s="8">
        <v>1158.05</v>
      </c>
      <c r="J121" s="8">
        <v>0</v>
      </c>
      <c r="K121" s="14">
        <v>12738.55</v>
      </c>
      <c r="L121" t="s">
        <v>19</v>
      </c>
      <c r="M121" t="s">
        <v>36</v>
      </c>
      <c r="N121" s="14">
        <f>Table14[[#This Row],[Quantity]]*Table14[[#This Row],[UnitPrice]]*(1-Table14[[#This Row],[Discount]])</f>
        <v>12738.55</v>
      </c>
      <c r="O121" s="8">
        <f>YEAR(Table14[[#This Row],[OrderDate]])</f>
        <v>2025</v>
      </c>
      <c r="P121" s="8" t="str">
        <f>TEXT(Table14[[#This Row],[OrderDate]],"mmmm")</f>
        <v>July</v>
      </c>
      <c r="Q121" s="8" t="str">
        <f t="shared" si="3"/>
        <v>Q3</v>
      </c>
      <c r="R121" s="3">
        <f>Table14[[#This Row],[Revenue]]*25%</f>
        <v>3184.6374999999998</v>
      </c>
      <c r="S121" s="3">
        <f t="shared" si="4"/>
        <v>2292.9389999999999</v>
      </c>
      <c r="T121" s="14">
        <f t="shared" si="5"/>
        <v>10445.610999999999</v>
      </c>
      <c r="U121" s="3" t="str">
        <f t="array" ref="U121">_xlfn.IFS(Table14[[#This Row],[Revenue]]&gt;10000,"High",AND(Table14[[#This Row],[Revenue]]&gt;=5000,Table14[[#This Row],[Revenue]]&lt;=10000),"Medium",Table14[[#This Row],[Revenue]]&lt;5000,"Low")</f>
        <v>High</v>
      </c>
      <c r="V121" s="3"/>
    </row>
    <row r="122" spans="1:22" x14ac:dyDescent="0.35">
      <c r="A122" s="8">
        <v>1287</v>
      </c>
      <c r="B122" s="2">
        <v>45871</v>
      </c>
      <c r="C122" t="s">
        <v>27</v>
      </c>
      <c r="D122" t="s">
        <v>47</v>
      </c>
      <c r="E122" t="s">
        <v>64</v>
      </c>
      <c r="F122" t="s">
        <v>24</v>
      </c>
      <c r="G122" t="s">
        <v>25</v>
      </c>
      <c r="H122" s="8">
        <v>15</v>
      </c>
      <c r="I122" s="8">
        <v>265.45999999999998</v>
      </c>
      <c r="J122" s="8">
        <v>0.15</v>
      </c>
      <c r="K122" s="14">
        <v>3384.61</v>
      </c>
      <c r="L122" t="s">
        <v>19</v>
      </c>
      <c r="M122" t="s">
        <v>26</v>
      </c>
      <c r="N122" s="14">
        <f>Table14[[#This Row],[Quantity]]*Table14[[#This Row],[UnitPrice]]*(1-Table14[[#This Row],[Discount]])</f>
        <v>3384.6149999999998</v>
      </c>
      <c r="O122" s="8">
        <f>YEAR(Table14[[#This Row],[OrderDate]])</f>
        <v>2025</v>
      </c>
      <c r="P122" s="8" t="str">
        <f>TEXT(Table14[[#This Row],[OrderDate]],"mmmm")</f>
        <v>August</v>
      </c>
      <c r="Q122" s="8" t="str">
        <f t="shared" si="3"/>
        <v>Q3</v>
      </c>
      <c r="R122" s="3">
        <f>Table14[[#This Row],[Revenue]]*25%</f>
        <v>846.15250000000003</v>
      </c>
      <c r="S122" s="3">
        <f t="shared" si="4"/>
        <v>609.22979999999995</v>
      </c>
      <c r="T122" s="14">
        <f t="shared" si="5"/>
        <v>2775.3802000000001</v>
      </c>
      <c r="U122" s="3" t="str">
        <f t="array" ref="U122">_xlfn.IFS(Table14[[#This Row],[Revenue]]&gt;10000,"High",AND(Table14[[#This Row],[Revenue]]&gt;=5000,Table14[[#This Row],[Revenue]]&lt;=10000),"Medium",Table14[[#This Row],[Revenue]]&lt;5000,"Low")</f>
        <v>Low</v>
      </c>
      <c r="V122" s="3"/>
    </row>
    <row r="123" spans="1:22" x14ac:dyDescent="0.35">
      <c r="A123" s="8">
        <v>1045</v>
      </c>
      <c r="B123" s="2">
        <v>45872</v>
      </c>
      <c r="C123" t="s">
        <v>14</v>
      </c>
      <c r="D123" t="s">
        <v>15</v>
      </c>
      <c r="E123" t="s">
        <v>90</v>
      </c>
      <c r="F123" t="s">
        <v>17</v>
      </c>
      <c r="G123" t="s">
        <v>30</v>
      </c>
      <c r="H123" s="8">
        <v>3</v>
      </c>
      <c r="I123" s="8">
        <v>806.63</v>
      </c>
      <c r="J123" s="8">
        <v>0.15</v>
      </c>
      <c r="K123" s="14">
        <v>2056.91</v>
      </c>
      <c r="L123" t="s">
        <v>39</v>
      </c>
      <c r="M123" t="s">
        <v>36</v>
      </c>
      <c r="N123" s="14">
        <f>Table14[[#This Row],[Quantity]]*Table14[[#This Row],[UnitPrice]]*(1-Table14[[#This Row],[Discount]])</f>
        <v>2056.9065000000001</v>
      </c>
      <c r="O123" s="8">
        <f>YEAR(Table14[[#This Row],[OrderDate]])</f>
        <v>2025</v>
      </c>
      <c r="P123" s="8" t="str">
        <f>TEXT(Table14[[#This Row],[OrderDate]],"mmmm")</f>
        <v>August</v>
      </c>
      <c r="Q123" s="8" t="str">
        <f t="shared" si="3"/>
        <v>Q3</v>
      </c>
      <c r="R123" s="3">
        <f>Table14[[#This Row],[Revenue]]*25%</f>
        <v>514.22749999999996</v>
      </c>
      <c r="S123" s="3">
        <f t="shared" si="4"/>
        <v>370.24379999999996</v>
      </c>
      <c r="T123" s="14">
        <f t="shared" si="5"/>
        <v>1686.6661999999999</v>
      </c>
      <c r="U123" s="3" t="str">
        <f t="array" ref="U123">_xlfn.IFS(Table14[[#This Row],[Revenue]]&gt;10000,"High",AND(Table14[[#This Row],[Revenue]]&gt;=5000,Table14[[#This Row],[Revenue]]&lt;=10000),"Medium",Table14[[#This Row],[Revenue]]&lt;5000,"Low")</f>
        <v>Low</v>
      </c>
      <c r="V123" s="3"/>
    </row>
    <row r="124" spans="1:22" x14ac:dyDescent="0.35">
      <c r="A124" s="8">
        <v>1019</v>
      </c>
      <c r="B124" s="2">
        <v>45874</v>
      </c>
      <c r="C124" t="s">
        <v>21</v>
      </c>
      <c r="D124" t="s">
        <v>22</v>
      </c>
      <c r="E124" t="s">
        <v>66</v>
      </c>
      <c r="F124" t="s">
        <v>105</v>
      </c>
      <c r="G124" t="s">
        <v>63</v>
      </c>
      <c r="H124" s="8">
        <v>15</v>
      </c>
      <c r="I124" s="8">
        <v>196.38</v>
      </c>
      <c r="J124" s="8">
        <v>0.05</v>
      </c>
      <c r="K124" s="14">
        <v>2798.41</v>
      </c>
      <c r="L124" t="s">
        <v>39</v>
      </c>
      <c r="M124" t="s">
        <v>26</v>
      </c>
      <c r="N124" s="14">
        <f>Table14[[#This Row],[Quantity]]*Table14[[#This Row],[UnitPrice]]*(1-Table14[[#This Row],[Discount]])</f>
        <v>2798.4149999999995</v>
      </c>
      <c r="O124" s="8">
        <f>YEAR(Table14[[#This Row],[OrderDate]])</f>
        <v>2025</v>
      </c>
      <c r="P124" s="8" t="str">
        <f>TEXT(Table14[[#This Row],[OrderDate]],"mmmm")</f>
        <v>August</v>
      </c>
      <c r="Q124" s="8" t="str">
        <f t="shared" si="3"/>
        <v>Q3</v>
      </c>
      <c r="R124" s="3">
        <f>Table14[[#This Row],[Revenue]]*25%</f>
        <v>699.60249999999996</v>
      </c>
      <c r="S124" s="3">
        <f t="shared" si="4"/>
        <v>503.71379999999994</v>
      </c>
      <c r="T124" s="14">
        <f t="shared" si="5"/>
        <v>2294.6961999999999</v>
      </c>
      <c r="U124" s="3" t="str">
        <f t="array" ref="U124">_xlfn.IFS(Table14[[#This Row],[Revenue]]&gt;10000,"High",AND(Table14[[#This Row],[Revenue]]&gt;=5000,Table14[[#This Row],[Revenue]]&lt;=10000),"Medium",Table14[[#This Row],[Revenue]]&lt;5000,"Low")</f>
        <v>Low</v>
      </c>
      <c r="V124" s="3"/>
    </row>
    <row r="125" spans="1:22" x14ac:dyDescent="0.35">
      <c r="A125" s="8">
        <v>1021</v>
      </c>
      <c r="B125" s="2">
        <v>45875</v>
      </c>
      <c r="C125" t="s">
        <v>14</v>
      </c>
      <c r="D125" t="s">
        <v>31</v>
      </c>
      <c r="E125" t="s">
        <v>16</v>
      </c>
      <c r="F125" t="s">
        <v>17</v>
      </c>
      <c r="G125" t="s">
        <v>30</v>
      </c>
      <c r="H125" s="8">
        <v>4</v>
      </c>
      <c r="I125" s="8">
        <v>13.57</v>
      </c>
      <c r="J125" s="8">
        <v>0.15</v>
      </c>
      <c r="K125" s="14">
        <v>46.14</v>
      </c>
      <c r="L125" t="s">
        <v>19</v>
      </c>
      <c r="M125" t="s">
        <v>20</v>
      </c>
      <c r="N125" s="14">
        <f>Table14[[#This Row],[Quantity]]*Table14[[#This Row],[UnitPrice]]*(1-Table14[[#This Row],[Discount]])</f>
        <v>46.137999999999998</v>
      </c>
      <c r="O125" s="8">
        <f>YEAR(Table14[[#This Row],[OrderDate]])</f>
        <v>2025</v>
      </c>
      <c r="P125" s="8" t="str">
        <f>TEXT(Table14[[#This Row],[OrderDate]],"mmmm")</f>
        <v>August</v>
      </c>
      <c r="Q125" s="8" t="str">
        <f t="shared" si="3"/>
        <v>Q3</v>
      </c>
      <c r="R125" s="3">
        <f>Table14[[#This Row],[Revenue]]*25%</f>
        <v>11.535</v>
      </c>
      <c r="S125" s="3">
        <f t="shared" si="4"/>
        <v>8.3051999999999992</v>
      </c>
      <c r="T125" s="14">
        <f t="shared" si="5"/>
        <v>37.834800000000001</v>
      </c>
      <c r="U125" s="3" t="str">
        <f t="array" ref="U125">_xlfn.IFS(Table14[[#This Row],[Revenue]]&gt;10000,"High",AND(Table14[[#This Row],[Revenue]]&gt;=5000,Table14[[#This Row],[Revenue]]&lt;=10000),"Medium",Table14[[#This Row],[Revenue]]&lt;5000,"Low")</f>
        <v>Low</v>
      </c>
      <c r="V125" s="3"/>
    </row>
    <row r="126" spans="1:22" x14ac:dyDescent="0.35">
      <c r="A126" s="8">
        <v>1156</v>
      </c>
      <c r="B126" s="2">
        <v>45875</v>
      </c>
      <c r="C126" t="s">
        <v>21</v>
      </c>
      <c r="D126" t="s">
        <v>47</v>
      </c>
      <c r="E126" t="s">
        <v>79</v>
      </c>
      <c r="F126" t="s">
        <v>33</v>
      </c>
      <c r="G126" t="s">
        <v>53</v>
      </c>
      <c r="H126" s="8">
        <v>9</v>
      </c>
      <c r="I126" s="8">
        <v>227.95</v>
      </c>
      <c r="J126" s="8">
        <v>0</v>
      </c>
      <c r="K126" s="14">
        <v>2051.5500000000002</v>
      </c>
      <c r="L126" t="s">
        <v>19</v>
      </c>
      <c r="M126" t="s">
        <v>20</v>
      </c>
      <c r="N126" s="14">
        <f>Table14[[#This Row],[Quantity]]*Table14[[#This Row],[UnitPrice]]*(1-Table14[[#This Row],[Discount]])</f>
        <v>2051.5499999999997</v>
      </c>
      <c r="O126" s="8">
        <f>YEAR(Table14[[#This Row],[OrderDate]])</f>
        <v>2025</v>
      </c>
      <c r="P126" s="8" t="str">
        <f>TEXT(Table14[[#This Row],[OrderDate]],"mmmm")</f>
        <v>August</v>
      </c>
      <c r="Q126" s="8" t="str">
        <f t="shared" si="3"/>
        <v>Q3</v>
      </c>
      <c r="R126" s="3">
        <f>Table14[[#This Row],[Revenue]]*25%</f>
        <v>512.88750000000005</v>
      </c>
      <c r="S126" s="3">
        <f t="shared" si="4"/>
        <v>369.279</v>
      </c>
      <c r="T126" s="14">
        <f t="shared" si="5"/>
        <v>1682.2710000000002</v>
      </c>
      <c r="U126" s="3" t="str">
        <f t="array" ref="U126">_xlfn.IFS(Table14[[#This Row],[Revenue]]&gt;10000,"High",AND(Table14[[#This Row],[Revenue]]&gt;=5000,Table14[[#This Row],[Revenue]]&lt;=10000),"Medium",Table14[[#This Row],[Revenue]]&lt;5000,"Low")</f>
        <v>Low</v>
      </c>
      <c r="V126" s="3"/>
    </row>
    <row r="127" spans="1:22" x14ac:dyDescent="0.35">
      <c r="A127" s="8">
        <v>1285</v>
      </c>
      <c r="B127" s="2">
        <v>45875</v>
      </c>
      <c r="C127" t="s">
        <v>43</v>
      </c>
      <c r="D127" t="s">
        <v>47</v>
      </c>
      <c r="E127" t="s">
        <v>100</v>
      </c>
      <c r="F127" t="s">
        <v>24</v>
      </c>
      <c r="G127" t="s">
        <v>38</v>
      </c>
      <c r="H127" s="8">
        <v>9</v>
      </c>
      <c r="I127" s="8">
        <v>215.53</v>
      </c>
      <c r="J127" s="8">
        <v>0.05</v>
      </c>
      <c r="K127" s="14">
        <v>1842.78</v>
      </c>
      <c r="L127" t="s">
        <v>19</v>
      </c>
      <c r="M127" t="s">
        <v>26</v>
      </c>
      <c r="N127" s="14">
        <f>Table14[[#This Row],[Quantity]]*Table14[[#This Row],[UnitPrice]]*(1-Table14[[#This Row],[Discount]])</f>
        <v>1842.7814999999998</v>
      </c>
      <c r="O127" s="8">
        <f>YEAR(Table14[[#This Row],[OrderDate]])</f>
        <v>2025</v>
      </c>
      <c r="P127" s="8" t="str">
        <f>TEXT(Table14[[#This Row],[OrderDate]],"mmmm")</f>
        <v>August</v>
      </c>
      <c r="Q127" s="8" t="str">
        <f t="shared" si="3"/>
        <v>Q3</v>
      </c>
      <c r="R127" s="3">
        <f>Table14[[#This Row],[Revenue]]*25%</f>
        <v>460.69499999999999</v>
      </c>
      <c r="S127" s="3">
        <f t="shared" si="4"/>
        <v>331.7004</v>
      </c>
      <c r="T127" s="14">
        <f t="shared" si="5"/>
        <v>1511.0796</v>
      </c>
      <c r="U127" s="3" t="str">
        <f t="array" ref="U127">_xlfn.IFS(Table14[[#This Row],[Revenue]]&gt;10000,"High",AND(Table14[[#This Row],[Revenue]]&gt;=5000,Table14[[#This Row],[Revenue]]&lt;=10000),"Medium",Table14[[#This Row],[Revenue]]&lt;5000,"Low")</f>
        <v>Low</v>
      </c>
      <c r="V127" s="3"/>
    </row>
    <row r="128" spans="1:22" x14ac:dyDescent="0.35">
      <c r="A128" s="8">
        <v>1111</v>
      </c>
      <c r="B128" s="2">
        <v>45876</v>
      </c>
      <c r="C128" t="s">
        <v>21</v>
      </c>
      <c r="D128" t="s">
        <v>22</v>
      </c>
      <c r="E128" t="s">
        <v>96</v>
      </c>
      <c r="F128" t="s">
        <v>24</v>
      </c>
      <c r="G128" t="s">
        <v>63</v>
      </c>
      <c r="H128" s="8">
        <v>11</v>
      </c>
      <c r="I128" s="8">
        <v>520.44000000000005</v>
      </c>
      <c r="J128" s="8">
        <v>0</v>
      </c>
      <c r="K128" s="14">
        <v>5724.84</v>
      </c>
      <c r="L128" t="s">
        <v>39</v>
      </c>
      <c r="M128" t="s">
        <v>26</v>
      </c>
      <c r="N128" s="14">
        <f>Table14[[#This Row],[Quantity]]*Table14[[#This Row],[UnitPrice]]*(1-Table14[[#This Row],[Discount]])</f>
        <v>5724.84</v>
      </c>
      <c r="O128" s="8">
        <f>YEAR(Table14[[#This Row],[OrderDate]])</f>
        <v>2025</v>
      </c>
      <c r="P128" s="8" t="str">
        <f>TEXT(Table14[[#This Row],[OrderDate]],"mmmm")</f>
        <v>August</v>
      </c>
      <c r="Q128" s="8" t="str">
        <f t="shared" si="3"/>
        <v>Q3</v>
      </c>
      <c r="R128" s="3">
        <f>Table14[[#This Row],[Revenue]]*25%</f>
        <v>1431.21</v>
      </c>
      <c r="S128" s="3">
        <f t="shared" si="4"/>
        <v>1030.4712</v>
      </c>
      <c r="T128" s="14">
        <f t="shared" si="5"/>
        <v>4694.3688000000002</v>
      </c>
      <c r="U128" s="3" t="str">
        <f t="array" ref="U128">_xlfn.IFS(Table14[[#This Row],[Revenue]]&gt;10000,"High",AND(Table14[[#This Row],[Revenue]]&gt;=5000,Table14[[#This Row],[Revenue]]&lt;=10000),"Medium",Table14[[#This Row],[Revenue]]&lt;5000,"Low")</f>
        <v>Medium</v>
      </c>
      <c r="V128" s="3"/>
    </row>
    <row r="129" spans="1:22" x14ac:dyDescent="0.35">
      <c r="A129" s="8">
        <v>1250</v>
      </c>
      <c r="B129" s="2">
        <v>45878</v>
      </c>
      <c r="C129" t="s">
        <v>14</v>
      </c>
      <c r="D129" t="s">
        <v>47</v>
      </c>
      <c r="E129" t="s">
        <v>95</v>
      </c>
      <c r="F129" t="s">
        <v>17</v>
      </c>
      <c r="G129" t="s">
        <v>30</v>
      </c>
      <c r="H129" s="8">
        <v>5</v>
      </c>
      <c r="I129" s="8">
        <v>527.46</v>
      </c>
      <c r="J129" s="8">
        <v>0.05</v>
      </c>
      <c r="K129" s="14">
        <v>2505.4299999999998</v>
      </c>
      <c r="L129" t="s">
        <v>35</v>
      </c>
      <c r="M129" t="s">
        <v>36</v>
      </c>
      <c r="N129" s="14">
        <f>Table14[[#This Row],[Quantity]]*Table14[[#This Row],[UnitPrice]]*(1-Table14[[#This Row],[Discount]])</f>
        <v>2505.4349999999999</v>
      </c>
      <c r="O129" s="8">
        <f>YEAR(Table14[[#This Row],[OrderDate]])</f>
        <v>2025</v>
      </c>
      <c r="P129" s="8" t="str">
        <f>TEXT(Table14[[#This Row],[OrderDate]],"mmmm")</f>
        <v>August</v>
      </c>
      <c r="Q129" s="8" t="str">
        <f t="shared" si="3"/>
        <v>Q3</v>
      </c>
      <c r="R129" s="3">
        <f>Table14[[#This Row],[Revenue]]*25%</f>
        <v>626.35749999999996</v>
      </c>
      <c r="S129" s="3">
        <f t="shared" si="4"/>
        <v>450.97739999999993</v>
      </c>
      <c r="T129" s="14">
        <f t="shared" si="5"/>
        <v>2054.4526000000001</v>
      </c>
      <c r="U129" s="3" t="str">
        <f t="array" ref="U129">_xlfn.IFS(Table14[[#This Row],[Revenue]]&gt;10000,"High",AND(Table14[[#This Row],[Revenue]]&gt;=5000,Table14[[#This Row],[Revenue]]&lt;=10000),"Medium",Table14[[#This Row],[Revenue]]&lt;5000,"Low")</f>
        <v>Low</v>
      </c>
      <c r="V129" s="3"/>
    </row>
    <row r="130" spans="1:22" x14ac:dyDescent="0.35">
      <c r="A130" s="8">
        <v>1132</v>
      </c>
      <c r="B130" s="2">
        <v>45879</v>
      </c>
      <c r="C130" t="s">
        <v>21</v>
      </c>
      <c r="D130" t="s">
        <v>22</v>
      </c>
      <c r="E130" t="s">
        <v>106</v>
      </c>
      <c r="F130" t="s">
        <v>24</v>
      </c>
      <c r="G130" t="s">
        <v>38</v>
      </c>
      <c r="H130" s="8">
        <v>10</v>
      </c>
      <c r="I130" s="8">
        <v>16.64</v>
      </c>
      <c r="J130" s="8">
        <v>0.15</v>
      </c>
      <c r="K130" s="14">
        <v>141.44</v>
      </c>
      <c r="L130" t="s">
        <v>35</v>
      </c>
      <c r="M130" t="s">
        <v>20</v>
      </c>
      <c r="N130" s="14">
        <f>Table14[[#This Row],[Quantity]]*Table14[[#This Row],[UnitPrice]]*(1-Table14[[#This Row],[Discount]])</f>
        <v>141.44</v>
      </c>
      <c r="O130" s="8">
        <f>YEAR(Table14[[#This Row],[OrderDate]])</f>
        <v>2025</v>
      </c>
      <c r="P130" s="8" t="str">
        <f>TEXT(Table14[[#This Row],[OrderDate]],"mmmm")</f>
        <v>August</v>
      </c>
      <c r="Q130" s="8" t="str">
        <f t="shared" ref="Q130:Q193" si="6">"Q"&amp;ROUNDUP(MONTH(B130)/3,0)</f>
        <v>Q3</v>
      </c>
      <c r="R130" s="3">
        <f>Table14[[#This Row],[Revenue]]*25%</f>
        <v>35.36</v>
      </c>
      <c r="S130" s="3">
        <f t="shared" ref="S130:S193" si="7">K130*18%</f>
        <v>25.459199999999999</v>
      </c>
      <c r="T130" s="14">
        <f t="shared" ref="T130:T193" si="8">K130-S130</f>
        <v>115.9808</v>
      </c>
      <c r="U130" s="3" t="str">
        <f t="array" ref="U130">_xlfn.IFS(Table14[[#This Row],[Revenue]]&gt;10000,"High",AND(Table14[[#This Row],[Revenue]]&gt;=5000,Table14[[#This Row],[Revenue]]&lt;=10000),"Medium",Table14[[#This Row],[Revenue]]&lt;5000,"Low")</f>
        <v>Low</v>
      </c>
      <c r="V130" s="3"/>
    </row>
    <row r="131" spans="1:22" x14ac:dyDescent="0.35">
      <c r="A131" s="8">
        <v>1114</v>
      </c>
      <c r="B131" s="2">
        <v>45881</v>
      </c>
      <c r="C131" t="s">
        <v>43</v>
      </c>
      <c r="D131" t="s">
        <v>22</v>
      </c>
      <c r="E131" t="s">
        <v>64</v>
      </c>
      <c r="F131" t="s">
        <v>24</v>
      </c>
      <c r="G131" t="s">
        <v>38</v>
      </c>
      <c r="H131" s="8">
        <v>13</v>
      </c>
      <c r="I131" s="8">
        <v>822.77</v>
      </c>
      <c r="J131" s="8">
        <v>0.1</v>
      </c>
      <c r="K131" s="14">
        <v>9626.41</v>
      </c>
      <c r="L131" t="s">
        <v>35</v>
      </c>
      <c r="M131" t="s">
        <v>20</v>
      </c>
      <c r="N131" s="14">
        <f>Table14[[#This Row],[Quantity]]*Table14[[#This Row],[UnitPrice]]*(1-Table14[[#This Row],[Discount]])</f>
        <v>9626.4089999999997</v>
      </c>
      <c r="O131" s="8">
        <f>YEAR(Table14[[#This Row],[OrderDate]])</f>
        <v>2025</v>
      </c>
      <c r="P131" s="8" t="str">
        <f>TEXT(Table14[[#This Row],[OrderDate]],"mmmm")</f>
        <v>August</v>
      </c>
      <c r="Q131" s="8" t="str">
        <f t="shared" si="6"/>
        <v>Q3</v>
      </c>
      <c r="R131" s="3">
        <f>Table14[[#This Row],[Revenue]]*25%</f>
        <v>2406.6025</v>
      </c>
      <c r="S131" s="3">
        <f t="shared" si="7"/>
        <v>1732.7538</v>
      </c>
      <c r="T131" s="14">
        <f t="shared" si="8"/>
        <v>7893.6561999999994</v>
      </c>
      <c r="U131" s="3" t="str">
        <f t="array" ref="U131">_xlfn.IFS(Table14[[#This Row],[Revenue]]&gt;10000,"High",AND(Table14[[#This Row],[Revenue]]&gt;=5000,Table14[[#This Row],[Revenue]]&lt;=10000),"Medium",Table14[[#This Row],[Revenue]]&lt;5000,"Low")</f>
        <v>Medium</v>
      </c>
      <c r="V131" s="3"/>
    </row>
    <row r="132" spans="1:22" x14ac:dyDescent="0.35">
      <c r="A132" s="8">
        <v>1218</v>
      </c>
      <c r="B132" s="2">
        <v>45889</v>
      </c>
      <c r="C132" t="s">
        <v>21</v>
      </c>
      <c r="D132" t="s">
        <v>28</v>
      </c>
      <c r="E132" t="s">
        <v>107</v>
      </c>
      <c r="F132" t="s">
        <v>17</v>
      </c>
      <c r="G132" t="s">
        <v>30</v>
      </c>
      <c r="H132" s="8">
        <v>12</v>
      </c>
      <c r="I132" s="8">
        <v>1039.67</v>
      </c>
      <c r="J132" s="8">
        <v>0.15</v>
      </c>
      <c r="K132" s="14">
        <v>10604.63</v>
      </c>
      <c r="L132" t="s">
        <v>39</v>
      </c>
      <c r="M132" t="s">
        <v>26</v>
      </c>
      <c r="N132" s="14">
        <f>Table14[[#This Row],[Quantity]]*Table14[[#This Row],[UnitPrice]]*(1-Table14[[#This Row],[Discount]])</f>
        <v>10604.634</v>
      </c>
      <c r="O132" s="8">
        <f>YEAR(Table14[[#This Row],[OrderDate]])</f>
        <v>2025</v>
      </c>
      <c r="P132" s="8" t="str">
        <f>TEXT(Table14[[#This Row],[OrderDate]],"mmmm")</f>
        <v>August</v>
      </c>
      <c r="Q132" s="8" t="str">
        <f t="shared" si="6"/>
        <v>Q3</v>
      </c>
      <c r="R132" s="3">
        <f>Table14[[#This Row],[Revenue]]*25%</f>
        <v>2651.1574999999998</v>
      </c>
      <c r="S132" s="3">
        <f t="shared" si="7"/>
        <v>1908.8333999999998</v>
      </c>
      <c r="T132" s="14">
        <f t="shared" si="8"/>
        <v>8695.7965999999997</v>
      </c>
      <c r="U132" s="3" t="str">
        <f t="array" ref="U132">_xlfn.IFS(Table14[[#This Row],[Revenue]]&gt;10000,"High",AND(Table14[[#This Row],[Revenue]]&gt;=5000,Table14[[#This Row],[Revenue]]&lt;=10000),"Medium",Table14[[#This Row],[Revenue]]&lt;5000,"Low")</f>
        <v>High</v>
      </c>
      <c r="V132" s="3"/>
    </row>
    <row r="133" spans="1:22" x14ac:dyDescent="0.35">
      <c r="A133" s="8">
        <v>1073</v>
      </c>
      <c r="B133" s="2">
        <v>45891</v>
      </c>
      <c r="C133" t="s">
        <v>43</v>
      </c>
      <c r="D133" t="s">
        <v>22</v>
      </c>
      <c r="E133" t="s">
        <v>88</v>
      </c>
      <c r="F133" t="s">
        <v>24</v>
      </c>
      <c r="G133" t="s">
        <v>25</v>
      </c>
      <c r="H133" s="8">
        <v>7</v>
      </c>
      <c r="I133" s="8">
        <v>916.63</v>
      </c>
      <c r="J133" s="8">
        <v>0.1</v>
      </c>
      <c r="K133" s="14">
        <v>5774.77</v>
      </c>
      <c r="L133" t="s">
        <v>19</v>
      </c>
      <c r="M133" t="s">
        <v>36</v>
      </c>
      <c r="N133" s="14">
        <f>Table14[[#This Row],[Quantity]]*Table14[[#This Row],[UnitPrice]]*(1-Table14[[#This Row],[Discount]])</f>
        <v>5774.7690000000002</v>
      </c>
      <c r="O133" s="8">
        <f>YEAR(Table14[[#This Row],[OrderDate]])</f>
        <v>2025</v>
      </c>
      <c r="P133" s="8" t="str">
        <f>TEXT(Table14[[#This Row],[OrderDate]],"mmmm")</f>
        <v>August</v>
      </c>
      <c r="Q133" s="8" t="str">
        <f t="shared" si="6"/>
        <v>Q3</v>
      </c>
      <c r="R133" s="3">
        <f>Table14[[#This Row],[Revenue]]*25%</f>
        <v>1443.6925000000001</v>
      </c>
      <c r="S133" s="3">
        <f t="shared" si="7"/>
        <v>1039.4585999999999</v>
      </c>
      <c r="T133" s="14">
        <f t="shared" si="8"/>
        <v>4735.3114000000005</v>
      </c>
      <c r="U133" s="3" t="str">
        <f t="array" ref="U133">_xlfn.IFS(Table14[[#This Row],[Revenue]]&gt;10000,"High",AND(Table14[[#This Row],[Revenue]]&gt;=5000,Table14[[#This Row],[Revenue]]&lt;=10000),"Medium",Table14[[#This Row],[Revenue]]&lt;5000,"Low")</f>
        <v>Medium</v>
      </c>
      <c r="V133" s="3"/>
    </row>
    <row r="134" spans="1:22" x14ac:dyDescent="0.35">
      <c r="A134" s="8">
        <v>1129</v>
      </c>
      <c r="B134" s="2">
        <v>45891</v>
      </c>
      <c r="C134" t="s">
        <v>27</v>
      </c>
      <c r="D134" t="s">
        <v>47</v>
      </c>
      <c r="E134" t="s">
        <v>41</v>
      </c>
      <c r="F134" t="s">
        <v>17</v>
      </c>
      <c r="G134" t="s">
        <v>18</v>
      </c>
      <c r="H134" s="8">
        <v>4</v>
      </c>
      <c r="I134" s="8">
        <v>974.87</v>
      </c>
      <c r="J134" s="8">
        <v>0.05</v>
      </c>
      <c r="K134" s="14">
        <v>3704.51</v>
      </c>
      <c r="L134" t="s">
        <v>39</v>
      </c>
      <c r="M134" t="s">
        <v>26</v>
      </c>
      <c r="N134" s="14">
        <f>Table14[[#This Row],[Quantity]]*Table14[[#This Row],[UnitPrice]]*(1-Table14[[#This Row],[Discount]])</f>
        <v>3704.5059999999999</v>
      </c>
      <c r="O134" s="8">
        <f>YEAR(Table14[[#This Row],[OrderDate]])</f>
        <v>2025</v>
      </c>
      <c r="P134" s="8" t="str">
        <f>TEXT(Table14[[#This Row],[OrderDate]],"mmmm")</f>
        <v>August</v>
      </c>
      <c r="Q134" s="8" t="str">
        <f t="shared" si="6"/>
        <v>Q3</v>
      </c>
      <c r="R134" s="3">
        <f>Table14[[#This Row],[Revenue]]*25%</f>
        <v>926.12750000000005</v>
      </c>
      <c r="S134" s="3">
        <f t="shared" si="7"/>
        <v>666.81180000000006</v>
      </c>
      <c r="T134" s="14">
        <f t="shared" si="8"/>
        <v>3037.6982000000003</v>
      </c>
      <c r="U134" s="3" t="str">
        <f t="array" ref="U134">_xlfn.IFS(Table14[[#This Row],[Revenue]]&gt;10000,"High",AND(Table14[[#This Row],[Revenue]]&gt;=5000,Table14[[#This Row],[Revenue]]&lt;=10000),"Medium",Table14[[#This Row],[Revenue]]&lt;5000,"Low")</f>
        <v>Low</v>
      </c>
      <c r="V134" s="3"/>
    </row>
    <row r="135" spans="1:22" x14ac:dyDescent="0.35">
      <c r="A135" s="8">
        <v>1047</v>
      </c>
      <c r="B135" s="2">
        <v>45895</v>
      </c>
      <c r="C135" t="s">
        <v>21</v>
      </c>
      <c r="D135" t="s">
        <v>15</v>
      </c>
      <c r="E135" t="s">
        <v>98</v>
      </c>
      <c r="F135" t="s">
        <v>33</v>
      </c>
      <c r="G135" t="s">
        <v>34</v>
      </c>
      <c r="H135" s="8">
        <v>7</v>
      </c>
      <c r="I135" s="8">
        <v>712.82</v>
      </c>
      <c r="J135" s="8">
        <v>0.15</v>
      </c>
      <c r="K135" s="14">
        <v>4241.28</v>
      </c>
      <c r="L135" t="s">
        <v>35</v>
      </c>
      <c r="M135" t="s">
        <v>20</v>
      </c>
      <c r="N135" s="14">
        <f>Table14[[#This Row],[Quantity]]*Table14[[#This Row],[UnitPrice]]*(1-Table14[[#This Row],[Discount]])</f>
        <v>4241.2790000000005</v>
      </c>
      <c r="O135" s="8">
        <f>YEAR(Table14[[#This Row],[OrderDate]])</f>
        <v>2025</v>
      </c>
      <c r="P135" s="8" t="str">
        <f>TEXT(Table14[[#This Row],[OrderDate]],"mmmm")</f>
        <v>August</v>
      </c>
      <c r="Q135" s="8" t="str">
        <f t="shared" si="6"/>
        <v>Q3</v>
      </c>
      <c r="R135" s="3">
        <f>Table14[[#This Row],[Revenue]]*25%</f>
        <v>1060.32</v>
      </c>
      <c r="S135" s="3">
        <f t="shared" si="7"/>
        <v>763.43039999999996</v>
      </c>
      <c r="T135" s="14">
        <f t="shared" si="8"/>
        <v>3477.8495999999996</v>
      </c>
      <c r="U135" s="3" t="str">
        <f t="array" ref="U135">_xlfn.IFS(Table14[[#This Row],[Revenue]]&gt;10000,"High",AND(Table14[[#This Row],[Revenue]]&gt;=5000,Table14[[#This Row],[Revenue]]&lt;=10000),"Medium",Table14[[#This Row],[Revenue]]&lt;5000,"Low")</f>
        <v>Low</v>
      </c>
      <c r="V135" s="3"/>
    </row>
    <row r="136" spans="1:22" x14ac:dyDescent="0.35">
      <c r="A136" s="8">
        <v>1003</v>
      </c>
      <c r="B136" s="2">
        <v>45897</v>
      </c>
      <c r="C136" t="s">
        <v>27</v>
      </c>
      <c r="D136" t="s">
        <v>47</v>
      </c>
      <c r="E136" t="s">
        <v>108</v>
      </c>
      <c r="F136" t="s">
        <v>24</v>
      </c>
      <c r="G136" t="s">
        <v>25</v>
      </c>
      <c r="H136" s="8">
        <v>13</v>
      </c>
      <c r="I136" s="8">
        <v>1071.08</v>
      </c>
      <c r="J136" s="8">
        <v>0.1</v>
      </c>
      <c r="K136" s="14">
        <v>12531.64</v>
      </c>
      <c r="L136" t="s">
        <v>35</v>
      </c>
      <c r="M136" t="s">
        <v>26</v>
      </c>
      <c r="N136" s="14">
        <f>Table14[[#This Row],[Quantity]]*Table14[[#This Row],[UnitPrice]]*(1-Table14[[#This Row],[Discount]])</f>
        <v>12531.635999999999</v>
      </c>
      <c r="O136" s="8">
        <f>YEAR(Table14[[#This Row],[OrderDate]])</f>
        <v>2025</v>
      </c>
      <c r="P136" s="8" t="str">
        <f>TEXT(Table14[[#This Row],[OrderDate]],"mmmm")</f>
        <v>August</v>
      </c>
      <c r="Q136" s="8" t="str">
        <f t="shared" si="6"/>
        <v>Q3</v>
      </c>
      <c r="R136" s="3">
        <f>Table14[[#This Row],[Revenue]]*25%</f>
        <v>3132.91</v>
      </c>
      <c r="S136" s="3">
        <f t="shared" si="7"/>
        <v>2255.6951999999997</v>
      </c>
      <c r="T136" s="14">
        <f t="shared" si="8"/>
        <v>10275.944799999999</v>
      </c>
      <c r="U136" s="3" t="str">
        <f t="array" ref="U136">_xlfn.IFS(Table14[[#This Row],[Revenue]]&gt;10000,"High",AND(Table14[[#This Row],[Revenue]]&gt;=5000,Table14[[#This Row],[Revenue]]&lt;=10000),"Medium",Table14[[#This Row],[Revenue]]&lt;5000,"Low")</f>
        <v>High</v>
      </c>
      <c r="V136" s="3"/>
    </row>
    <row r="137" spans="1:22" x14ac:dyDescent="0.35">
      <c r="A137" s="8">
        <v>1260</v>
      </c>
      <c r="B137" s="2">
        <v>45899</v>
      </c>
      <c r="C137" t="s">
        <v>43</v>
      </c>
      <c r="D137" t="s">
        <v>28</v>
      </c>
      <c r="E137" t="s">
        <v>23</v>
      </c>
      <c r="F137" t="s">
        <v>17</v>
      </c>
      <c r="G137" t="s">
        <v>46</v>
      </c>
      <c r="H137" s="8">
        <v>9</v>
      </c>
      <c r="I137" s="8">
        <v>927.94</v>
      </c>
      <c r="J137" s="8">
        <v>0.05</v>
      </c>
      <c r="K137" s="14">
        <v>7933.89</v>
      </c>
      <c r="L137" t="s">
        <v>19</v>
      </c>
      <c r="M137" t="s">
        <v>20</v>
      </c>
      <c r="N137" s="14">
        <f>Table14[[#This Row],[Quantity]]*Table14[[#This Row],[UnitPrice]]*(1-Table14[[#This Row],[Discount]])</f>
        <v>7933.8870000000006</v>
      </c>
      <c r="O137" s="8">
        <f>YEAR(Table14[[#This Row],[OrderDate]])</f>
        <v>2025</v>
      </c>
      <c r="P137" s="8" t="str">
        <f>TEXT(Table14[[#This Row],[OrderDate]],"mmmm")</f>
        <v>August</v>
      </c>
      <c r="Q137" s="8" t="str">
        <f t="shared" si="6"/>
        <v>Q3</v>
      </c>
      <c r="R137" s="3">
        <f>Table14[[#This Row],[Revenue]]*25%</f>
        <v>1983.4725000000001</v>
      </c>
      <c r="S137" s="3">
        <f t="shared" si="7"/>
        <v>1428.1002000000001</v>
      </c>
      <c r="T137" s="14">
        <f t="shared" si="8"/>
        <v>6505.7898000000005</v>
      </c>
      <c r="U137" s="3" t="str">
        <f t="array" ref="U137">_xlfn.IFS(Table14[[#This Row],[Revenue]]&gt;10000,"High",AND(Table14[[#This Row],[Revenue]]&gt;=5000,Table14[[#This Row],[Revenue]]&lt;=10000),"Medium",Table14[[#This Row],[Revenue]]&lt;5000,"Low")</f>
        <v>Medium</v>
      </c>
      <c r="V137" s="3"/>
    </row>
    <row r="138" spans="1:22" x14ac:dyDescent="0.35">
      <c r="A138" s="8">
        <v>1085</v>
      </c>
      <c r="B138" s="2">
        <v>45911</v>
      </c>
      <c r="C138" t="s">
        <v>21</v>
      </c>
      <c r="D138" t="s">
        <v>22</v>
      </c>
      <c r="E138" t="s">
        <v>109</v>
      </c>
      <c r="F138" t="s">
        <v>17</v>
      </c>
      <c r="G138" t="s">
        <v>18</v>
      </c>
      <c r="H138" s="8">
        <v>15</v>
      </c>
      <c r="I138" s="8">
        <v>1020.31</v>
      </c>
      <c r="J138" s="8">
        <v>0.15</v>
      </c>
      <c r="K138" s="14">
        <v>13008.95</v>
      </c>
      <c r="L138" t="s">
        <v>19</v>
      </c>
      <c r="M138" t="s">
        <v>36</v>
      </c>
      <c r="N138" s="14">
        <f>Table14[[#This Row],[Quantity]]*Table14[[#This Row],[UnitPrice]]*(1-Table14[[#This Row],[Discount]])</f>
        <v>13008.952499999999</v>
      </c>
      <c r="O138" s="8">
        <f>YEAR(Table14[[#This Row],[OrderDate]])</f>
        <v>2025</v>
      </c>
      <c r="P138" s="8" t="str">
        <f>TEXT(Table14[[#This Row],[OrderDate]],"mmmm")</f>
        <v>September</v>
      </c>
      <c r="Q138" s="8" t="str">
        <f t="shared" si="6"/>
        <v>Q3</v>
      </c>
      <c r="R138" s="3">
        <f>Table14[[#This Row],[Revenue]]*25%</f>
        <v>3252.2375000000002</v>
      </c>
      <c r="S138" s="3">
        <f t="shared" si="7"/>
        <v>2341.6109999999999</v>
      </c>
      <c r="T138" s="14">
        <f t="shared" si="8"/>
        <v>10667.339</v>
      </c>
      <c r="U138" s="3" t="str">
        <f t="array" ref="U138">_xlfn.IFS(Table14[[#This Row],[Revenue]]&gt;10000,"High",AND(Table14[[#This Row],[Revenue]]&gt;=5000,Table14[[#This Row],[Revenue]]&lt;=10000),"Medium",Table14[[#This Row],[Revenue]]&lt;5000,"Low")</f>
        <v>High</v>
      </c>
      <c r="V138" s="3"/>
    </row>
    <row r="139" spans="1:22" x14ac:dyDescent="0.35">
      <c r="A139" s="8">
        <v>1266</v>
      </c>
      <c r="B139" s="2">
        <v>45911</v>
      </c>
      <c r="C139" t="s">
        <v>14</v>
      </c>
      <c r="D139" t="s">
        <v>22</v>
      </c>
      <c r="E139" t="s">
        <v>76</v>
      </c>
      <c r="F139" t="s">
        <v>24</v>
      </c>
      <c r="G139" t="s">
        <v>63</v>
      </c>
      <c r="H139" s="8">
        <v>12</v>
      </c>
      <c r="I139" s="8">
        <v>420.63</v>
      </c>
      <c r="J139" s="8">
        <v>0.05</v>
      </c>
      <c r="K139" s="14">
        <v>4795.18</v>
      </c>
      <c r="L139" t="s">
        <v>35</v>
      </c>
      <c r="M139" t="s">
        <v>26</v>
      </c>
      <c r="N139" s="14">
        <f>Table14[[#This Row],[Quantity]]*Table14[[#This Row],[UnitPrice]]*(1-Table14[[#This Row],[Discount]])</f>
        <v>4795.1819999999989</v>
      </c>
      <c r="O139" s="8">
        <f>YEAR(Table14[[#This Row],[OrderDate]])</f>
        <v>2025</v>
      </c>
      <c r="P139" s="8" t="str">
        <f>TEXT(Table14[[#This Row],[OrderDate]],"mmmm")</f>
        <v>September</v>
      </c>
      <c r="Q139" s="8" t="str">
        <f t="shared" si="6"/>
        <v>Q3</v>
      </c>
      <c r="R139" s="3">
        <f>Table14[[#This Row],[Revenue]]*25%</f>
        <v>1198.7950000000001</v>
      </c>
      <c r="S139" s="3">
        <f t="shared" si="7"/>
        <v>863.13240000000008</v>
      </c>
      <c r="T139" s="14">
        <f t="shared" si="8"/>
        <v>3932.0476000000003</v>
      </c>
      <c r="U139" s="3" t="str">
        <f t="array" ref="U139">_xlfn.IFS(Table14[[#This Row],[Revenue]]&gt;10000,"High",AND(Table14[[#This Row],[Revenue]]&gt;=5000,Table14[[#This Row],[Revenue]]&lt;=10000),"Medium",Table14[[#This Row],[Revenue]]&lt;5000,"Low")</f>
        <v>Low</v>
      </c>
      <c r="V139" s="3"/>
    </row>
    <row r="140" spans="1:22" x14ac:dyDescent="0.35">
      <c r="A140" s="8">
        <v>1214</v>
      </c>
      <c r="B140" s="2">
        <v>45914</v>
      </c>
      <c r="C140" t="s">
        <v>21</v>
      </c>
      <c r="D140" t="s">
        <v>31</v>
      </c>
      <c r="E140" t="s">
        <v>91</v>
      </c>
      <c r="F140" t="s">
        <v>33</v>
      </c>
      <c r="G140" t="s">
        <v>34</v>
      </c>
      <c r="H140" s="8">
        <v>8</v>
      </c>
      <c r="I140" s="8">
        <v>238.51</v>
      </c>
      <c r="J140" s="8">
        <v>0.05</v>
      </c>
      <c r="K140" s="14">
        <v>1812.68</v>
      </c>
      <c r="L140" t="s">
        <v>35</v>
      </c>
      <c r="M140" t="s">
        <v>20</v>
      </c>
      <c r="N140" s="14">
        <f>Table14[[#This Row],[Quantity]]*Table14[[#This Row],[UnitPrice]]*(1-Table14[[#This Row],[Discount]])</f>
        <v>1812.6759999999999</v>
      </c>
      <c r="O140" s="8">
        <f>YEAR(Table14[[#This Row],[OrderDate]])</f>
        <v>2025</v>
      </c>
      <c r="P140" s="8" t="str">
        <f>TEXT(Table14[[#This Row],[OrderDate]],"mmmm")</f>
        <v>September</v>
      </c>
      <c r="Q140" s="8" t="str">
        <f t="shared" si="6"/>
        <v>Q3</v>
      </c>
      <c r="R140" s="3">
        <f>Table14[[#This Row],[Revenue]]*25%</f>
        <v>453.17</v>
      </c>
      <c r="S140" s="3">
        <f t="shared" si="7"/>
        <v>326.2824</v>
      </c>
      <c r="T140" s="14">
        <f t="shared" si="8"/>
        <v>1486.3976</v>
      </c>
      <c r="U140" s="3" t="str">
        <f t="array" ref="U140">_xlfn.IFS(Table14[[#This Row],[Revenue]]&gt;10000,"High",AND(Table14[[#This Row],[Revenue]]&gt;=5000,Table14[[#This Row],[Revenue]]&lt;=10000),"Medium",Table14[[#This Row],[Revenue]]&lt;5000,"Low")</f>
        <v>Low</v>
      </c>
      <c r="V140" s="3"/>
    </row>
    <row r="141" spans="1:22" x14ac:dyDescent="0.35">
      <c r="A141" s="8">
        <v>1223</v>
      </c>
      <c r="B141" s="2">
        <v>45915</v>
      </c>
      <c r="C141" t="s">
        <v>43</v>
      </c>
      <c r="D141" t="s">
        <v>54</v>
      </c>
      <c r="E141" t="s">
        <v>74</v>
      </c>
      <c r="F141" t="s">
        <v>17</v>
      </c>
      <c r="G141" t="s">
        <v>30</v>
      </c>
      <c r="H141" s="8">
        <v>3</v>
      </c>
      <c r="I141" s="8">
        <v>271.01</v>
      </c>
      <c r="J141" s="8">
        <v>0.1</v>
      </c>
      <c r="K141" s="14">
        <v>731.73</v>
      </c>
      <c r="L141" t="s">
        <v>39</v>
      </c>
      <c r="M141" t="s">
        <v>36</v>
      </c>
      <c r="N141" s="14">
        <f>Table14[[#This Row],[Quantity]]*Table14[[#This Row],[UnitPrice]]*(1-Table14[[#This Row],[Discount]])</f>
        <v>731.72699999999998</v>
      </c>
      <c r="O141" s="8">
        <f>YEAR(Table14[[#This Row],[OrderDate]])</f>
        <v>2025</v>
      </c>
      <c r="P141" s="8" t="str">
        <f>TEXT(Table14[[#This Row],[OrderDate]],"mmmm")</f>
        <v>September</v>
      </c>
      <c r="Q141" s="8" t="str">
        <f t="shared" si="6"/>
        <v>Q3</v>
      </c>
      <c r="R141" s="3">
        <f>Table14[[#This Row],[Revenue]]*25%</f>
        <v>182.9325</v>
      </c>
      <c r="S141" s="3">
        <f t="shared" si="7"/>
        <v>131.7114</v>
      </c>
      <c r="T141" s="14">
        <f t="shared" si="8"/>
        <v>600.01859999999999</v>
      </c>
      <c r="U141" s="3" t="str">
        <f t="array" ref="U141">_xlfn.IFS(Table14[[#This Row],[Revenue]]&gt;10000,"High",AND(Table14[[#This Row],[Revenue]]&gt;=5000,Table14[[#This Row],[Revenue]]&lt;=10000),"Medium",Table14[[#This Row],[Revenue]]&lt;5000,"Low")</f>
        <v>Low</v>
      </c>
      <c r="V141" s="3"/>
    </row>
    <row r="142" spans="1:22" x14ac:dyDescent="0.35">
      <c r="A142" s="8">
        <v>1007</v>
      </c>
      <c r="B142" s="2">
        <v>45916</v>
      </c>
      <c r="C142" t="s">
        <v>14</v>
      </c>
      <c r="D142" t="s">
        <v>47</v>
      </c>
      <c r="E142" t="s">
        <v>104</v>
      </c>
      <c r="F142" t="s">
        <v>24</v>
      </c>
      <c r="G142" t="s">
        <v>38</v>
      </c>
      <c r="H142" s="8">
        <v>10</v>
      </c>
      <c r="I142" s="8">
        <v>812.04</v>
      </c>
      <c r="J142" s="8">
        <v>0.1</v>
      </c>
      <c r="K142" s="14">
        <v>7308.36</v>
      </c>
      <c r="L142" t="s">
        <v>39</v>
      </c>
      <c r="M142" t="s">
        <v>20</v>
      </c>
      <c r="N142" s="14">
        <f>Table14[[#This Row],[Quantity]]*Table14[[#This Row],[UnitPrice]]*(1-Table14[[#This Row],[Discount]])</f>
        <v>7308.36</v>
      </c>
      <c r="O142" s="8">
        <f>YEAR(Table14[[#This Row],[OrderDate]])</f>
        <v>2025</v>
      </c>
      <c r="P142" s="8" t="str">
        <f>TEXT(Table14[[#This Row],[OrderDate]],"mmmm")</f>
        <v>September</v>
      </c>
      <c r="Q142" s="8" t="str">
        <f t="shared" si="6"/>
        <v>Q3</v>
      </c>
      <c r="R142" s="3">
        <f>Table14[[#This Row],[Revenue]]*25%</f>
        <v>1827.09</v>
      </c>
      <c r="S142" s="3">
        <f t="shared" si="7"/>
        <v>1315.5047999999999</v>
      </c>
      <c r="T142" s="14">
        <f t="shared" si="8"/>
        <v>5992.8552</v>
      </c>
      <c r="U142" s="3" t="str">
        <f t="array" ref="U142">_xlfn.IFS(Table14[[#This Row],[Revenue]]&gt;10000,"High",AND(Table14[[#This Row],[Revenue]]&gt;=5000,Table14[[#This Row],[Revenue]]&lt;=10000),"Medium",Table14[[#This Row],[Revenue]]&lt;5000,"Low")</f>
        <v>Medium</v>
      </c>
      <c r="V142" s="3"/>
    </row>
    <row r="143" spans="1:22" x14ac:dyDescent="0.35">
      <c r="A143" s="8">
        <v>1118</v>
      </c>
      <c r="B143" s="2">
        <v>45916</v>
      </c>
      <c r="C143" t="s">
        <v>27</v>
      </c>
      <c r="D143" t="s">
        <v>15</v>
      </c>
      <c r="E143" t="s">
        <v>99</v>
      </c>
      <c r="F143" t="s">
        <v>17</v>
      </c>
      <c r="G143" t="s">
        <v>18</v>
      </c>
      <c r="H143" s="8">
        <v>14</v>
      </c>
      <c r="I143" s="8">
        <v>298.47000000000003</v>
      </c>
      <c r="J143" s="8">
        <v>0</v>
      </c>
      <c r="K143" s="14">
        <v>4178.58</v>
      </c>
      <c r="L143" t="s">
        <v>19</v>
      </c>
      <c r="M143" t="s">
        <v>20</v>
      </c>
      <c r="N143" s="14">
        <f>Table14[[#This Row],[Quantity]]*Table14[[#This Row],[UnitPrice]]*(1-Table14[[#This Row],[Discount]])</f>
        <v>4178.58</v>
      </c>
      <c r="O143" s="8">
        <f>YEAR(Table14[[#This Row],[OrderDate]])</f>
        <v>2025</v>
      </c>
      <c r="P143" s="8" t="str">
        <f>TEXT(Table14[[#This Row],[OrderDate]],"mmmm")</f>
        <v>September</v>
      </c>
      <c r="Q143" s="8" t="str">
        <f t="shared" si="6"/>
        <v>Q3</v>
      </c>
      <c r="R143" s="3">
        <f>Table14[[#This Row],[Revenue]]*25%</f>
        <v>1044.645</v>
      </c>
      <c r="S143" s="3">
        <f t="shared" si="7"/>
        <v>752.14439999999991</v>
      </c>
      <c r="T143" s="14">
        <f t="shared" si="8"/>
        <v>3426.4355999999998</v>
      </c>
      <c r="U143" s="3" t="str">
        <f t="array" ref="U143">_xlfn.IFS(Table14[[#This Row],[Revenue]]&gt;10000,"High",AND(Table14[[#This Row],[Revenue]]&gt;=5000,Table14[[#This Row],[Revenue]]&lt;=10000),"Medium",Table14[[#This Row],[Revenue]]&lt;5000,"Low")</f>
        <v>Low</v>
      </c>
      <c r="V143" s="3"/>
    </row>
    <row r="144" spans="1:22" x14ac:dyDescent="0.35">
      <c r="A144" s="8">
        <v>1169</v>
      </c>
      <c r="B144" s="2">
        <v>45916</v>
      </c>
      <c r="C144" t="s">
        <v>43</v>
      </c>
      <c r="D144" t="s">
        <v>15</v>
      </c>
      <c r="E144" t="s">
        <v>72</v>
      </c>
      <c r="F144" t="s">
        <v>24</v>
      </c>
      <c r="G144" t="s">
        <v>38</v>
      </c>
      <c r="H144" s="8">
        <v>3</v>
      </c>
      <c r="I144" s="8">
        <v>649.34</v>
      </c>
      <c r="J144" s="8">
        <v>0.05</v>
      </c>
      <c r="K144" s="14">
        <v>1850.62</v>
      </c>
      <c r="L144" t="s">
        <v>19</v>
      </c>
      <c r="M144" t="s">
        <v>20</v>
      </c>
      <c r="N144" s="14">
        <f>Table14[[#This Row],[Quantity]]*Table14[[#This Row],[UnitPrice]]*(1-Table14[[#This Row],[Discount]])</f>
        <v>1850.6189999999999</v>
      </c>
      <c r="O144" s="8">
        <f>YEAR(Table14[[#This Row],[OrderDate]])</f>
        <v>2025</v>
      </c>
      <c r="P144" s="8" t="str">
        <f>TEXT(Table14[[#This Row],[OrderDate]],"mmmm")</f>
        <v>September</v>
      </c>
      <c r="Q144" s="8" t="str">
        <f t="shared" si="6"/>
        <v>Q3</v>
      </c>
      <c r="R144" s="3">
        <f>Table14[[#This Row],[Revenue]]*25%</f>
        <v>462.65499999999997</v>
      </c>
      <c r="S144" s="3">
        <f t="shared" si="7"/>
        <v>333.11159999999995</v>
      </c>
      <c r="T144" s="14">
        <f t="shared" si="8"/>
        <v>1517.5083999999999</v>
      </c>
      <c r="U144" s="3" t="str">
        <f t="array" ref="U144">_xlfn.IFS(Table14[[#This Row],[Revenue]]&gt;10000,"High",AND(Table14[[#This Row],[Revenue]]&gt;=5000,Table14[[#This Row],[Revenue]]&lt;=10000),"Medium",Table14[[#This Row],[Revenue]]&lt;5000,"Low")</f>
        <v>Low</v>
      </c>
      <c r="V144" s="3"/>
    </row>
    <row r="145" spans="1:22" x14ac:dyDescent="0.35">
      <c r="A145" s="8">
        <v>1206</v>
      </c>
      <c r="B145" s="2">
        <v>45917</v>
      </c>
      <c r="C145" t="s">
        <v>21</v>
      </c>
      <c r="D145" t="s">
        <v>28</v>
      </c>
      <c r="E145" t="s">
        <v>110</v>
      </c>
      <c r="F145" t="s">
        <v>24</v>
      </c>
      <c r="G145" t="s">
        <v>38</v>
      </c>
      <c r="H145" s="8">
        <v>2</v>
      </c>
      <c r="I145" s="8">
        <v>1097.76</v>
      </c>
      <c r="J145" s="8">
        <v>0.15</v>
      </c>
      <c r="K145" s="14">
        <v>1866.19</v>
      </c>
      <c r="L145" t="s">
        <v>39</v>
      </c>
      <c r="M145" t="s">
        <v>26</v>
      </c>
      <c r="N145" s="14">
        <f>Table14[[#This Row],[Quantity]]*Table14[[#This Row],[UnitPrice]]*(1-Table14[[#This Row],[Discount]])</f>
        <v>1866.192</v>
      </c>
      <c r="O145" s="8">
        <f>YEAR(Table14[[#This Row],[OrderDate]])</f>
        <v>2025</v>
      </c>
      <c r="P145" s="8" t="str">
        <f>TEXT(Table14[[#This Row],[OrderDate]],"mmmm")</f>
        <v>September</v>
      </c>
      <c r="Q145" s="8" t="str">
        <f t="shared" si="6"/>
        <v>Q3</v>
      </c>
      <c r="R145" s="3">
        <f>Table14[[#This Row],[Revenue]]*25%</f>
        <v>466.54750000000001</v>
      </c>
      <c r="S145" s="3">
        <f t="shared" si="7"/>
        <v>335.91419999999999</v>
      </c>
      <c r="T145" s="14">
        <f t="shared" si="8"/>
        <v>1530.2758000000001</v>
      </c>
      <c r="U145" s="3" t="str">
        <f t="array" ref="U145">_xlfn.IFS(Table14[[#This Row],[Revenue]]&gt;10000,"High",AND(Table14[[#This Row],[Revenue]]&gt;=5000,Table14[[#This Row],[Revenue]]&lt;=10000),"Medium",Table14[[#This Row],[Revenue]]&lt;5000,"Low")</f>
        <v>Low</v>
      </c>
      <c r="V145" s="3"/>
    </row>
    <row r="146" spans="1:22" x14ac:dyDescent="0.35">
      <c r="A146" s="8">
        <v>1199</v>
      </c>
      <c r="B146" s="2">
        <v>45919</v>
      </c>
      <c r="C146" t="s">
        <v>43</v>
      </c>
      <c r="D146" t="s">
        <v>15</v>
      </c>
      <c r="E146" t="s">
        <v>111</v>
      </c>
      <c r="F146" t="s">
        <v>24</v>
      </c>
      <c r="G146" t="s">
        <v>38</v>
      </c>
      <c r="H146" s="8">
        <v>3</v>
      </c>
      <c r="I146" s="8">
        <v>1137.8900000000001</v>
      </c>
      <c r="J146" s="8">
        <v>0.1</v>
      </c>
      <c r="K146" s="14">
        <v>3072.3</v>
      </c>
      <c r="L146" t="s">
        <v>19</v>
      </c>
      <c r="M146" t="s">
        <v>36</v>
      </c>
      <c r="N146" s="14">
        <f>Table14[[#This Row],[Quantity]]*Table14[[#This Row],[UnitPrice]]*(1-Table14[[#This Row],[Discount]])</f>
        <v>3072.3030000000003</v>
      </c>
      <c r="O146" s="8">
        <f>YEAR(Table14[[#This Row],[OrderDate]])</f>
        <v>2025</v>
      </c>
      <c r="P146" s="8" t="str">
        <f>TEXT(Table14[[#This Row],[OrderDate]],"mmmm")</f>
        <v>September</v>
      </c>
      <c r="Q146" s="8" t="str">
        <f t="shared" si="6"/>
        <v>Q3</v>
      </c>
      <c r="R146" s="3">
        <f>Table14[[#This Row],[Revenue]]*25%</f>
        <v>768.07500000000005</v>
      </c>
      <c r="S146" s="3">
        <f t="shared" si="7"/>
        <v>553.01400000000001</v>
      </c>
      <c r="T146" s="14">
        <f t="shared" si="8"/>
        <v>2519.2860000000001</v>
      </c>
      <c r="U146" s="3" t="str">
        <f t="array" ref="U146">_xlfn.IFS(Table14[[#This Row],[Revenue]]&gt;10000,"High",AND(Table14[[#This Row],[Revenue]]&gt;=5000,Table14[[#This Row],[Revenue]]&lt;=10000),"Medium",Table14[[#This Row],[Revenue]]&lt;5000,"Low")</f>
        <v>Low</v>
      </c>
      <c r="V146" s="3"/>
    </row>
    <row r="147" spans="1:22" x14ac:dyDescent="0.35">
      <c r="A147" s="8">
        <v>1015</v>
      </c>
      <c r="B147" s="2">
        <v>45920</v>
      </c>
      <c r="C147" t="s">
        <v>14</v>
      </c>
      <c r="D147" t="s">
        <v>47</v>
      </c>
      <c r="E147" t="s">
        <v>67</v>
      </c>
      <c r="F147" t="s">
        <v>33</v>
      </c>
      <c r="G147" t="s">
        <v>34</v>
      </c>
      <c r="H147" s="8">
        <v>2</v>
      </c>
      <c r="I147" s="8">
        <v>700.13</v>
      </c>
      <c r="J147" s="8">
        <v>0.05</v>
      </c>
      <c r="K147" s="14">
        <v>1330.25</v>
      </c>
      <c r="L147" t="s">
        <v>35</v>
      </c>
      <c r="M147" t="s">
        <v>36</v>
      </c>
      <c r="N147" s="14">
        <f>Table14[[#This Row],[Quantity]]*Table14[[#This Row],[UnitPrice]]*(1-Table14[[#This Row],[Discount]])</f>
        <v>1330.2469999999998</v>
      </c>
      <c r="O147" s="8">
        <f>YEAR(Table14[[#This Row],[OrderDate]])</f>
        <v>2025</v>
      </c>
      <c r="P147" s="8" t="str">
        <f>TEXT(Table14[[#This Row],[OrderDate]],"mmmm")</f>
        <v>September</v>
      </c>
      <c r="Q147" s="8" t="str">
        <f t="shared" si="6"/>
        <v>Q3</v>
      </c>
      <c r="R147" s="3">
        <f>Table14[[#This Row],[Revenue]]*25%</f>
        <v>332.5625</v>
      </c>
      <c r="S147" s="3">
        <f t="shared" si="7"/>
        <v>239.44499999999999</v>
      </c>
      <c r="T147" s="14">
        <f t="shared" si="8"/>
        <v>1090.8050000000001</v>
      </c>
      <c r="U147" s="3" t="str">
        <f t="array" ref="U147">_xlfn.IFS(Table14[[#This Row],[Revenue]]&gt;10000,"High",AND(Table14[[#This Row],[Revenue]]&gt;=5000,Table14[[#This Row],[Revenue]]&lt;=10000),"Medium",Table14[[#This Row],[Revenue]]&lt;5000,"Low")</f>
        <v>Low</v>
      </c>
      <c r="V147" s="3"/>
    </row>
    <row r="148" spans="1:22" x14ac:dyDescent="0.35">
      <c r="A148" s="8">
        <v>1189</v>
      </c>
      <c r="B148" s="2">
        <v>45923</v>
      </c>
      <c r="C148" t="s">
        <v>21</v>
      </c>
      <c r="D148" t="s">
        <v>47</v>
      </c>
      <c r="E148" t="s">
        <v>112</v>
      </c>
      <c r="F148" t="s">
        <v>17</v>
      </c>
      <c r="G148" t="s">
        <v>46</v>
      </c>
      <c r="H148" s="8">
        <v>13</v>
      </c>
      <c r="I148" s="8">
        <v>505.05</v>
      </c>
      <c r="J148" s="8">
        <v>0</v>
      </c>
      <c r="K148" s="14">
        <v>6565.65</v>
      </c>
      <c r="L148" t="s">
        <v>39</v>
      </c>
      <c r="M148" t="s">
        <v>36</v>
      </c>
      <c r="N148" s="14">
        <f>Table14[[#This Row],[Quantity]]*Table14[[#This Row],[UnitPrice]]*(1-Table14[[#This Row],[Discount]])</f>
        <v>6565.6500000000005</v>
      </c>
      <c r="O148" s="8">
        <f>YEAR(Table14[[#This Row],[OrderDate]])</f>
        <v>2025</v>
      </c>
      <c r="P148" s="8" t="str">
        <f>TEXT(Table14[[#This Row],[OrderDate]],"mmmm")</f>
        <v>September</v>
      </c>
      <c r="Q148" s="8" t="str">
        <f t="shared" si="6"/>
        <v>Q3</v>
      </c>
      <c r="R148" s="3">
        <f>Table14[[#This Row],[Revenue]]*25%</f>
        <v>1641.4124999999999</v>
      </c>
      <c r="S148" s="3">
        <f t="shared" si="7"/>
        <v>1181.8169999999998</v>
      </c>
      <c r="T148" s="14">
        <f t="shared" si="8"/>
        <v>5383.8329999999996</v>
      </c>
      <c r="U148" s="3" t="str">
        <f t="array" ref="U148">_xlfn.IFS(Table14[[#This Row],[Revenue]]&gt;10000,"High",AND(Table14[[#This Row],[Revenue]]&gt;=5000,Table14[[#This Row],[Revenue]]&lt;=10000),"Medium",Table14[[#This Row],[Revenue]]&lt;5000,"Low")</f>
        <v>Medium</v>
      </c>
      <c r="V148" s="3"/>
    </row>
    <row r="149" spans="1:22" x14ac:dyDescent="0.35">
      <c r="A149" s="8">
        <v>1267</v>
      </c>
      <c r="B149" s="2">
        <v>45924</v>
      </c>
      <c r="C149" t="s">
        <v>14</v>
      </c>
      <c r="D149" t="s">
        <v>54</v>
      </c>
      <c r="E149" t="s">
        <v>102</v>
      </c>
      <c r="F149" t="s">
        <v>17</v>
      </c>
      <c r="G149" t="s">
        <v>46</v>
      </c>
      <c r="H149" s="8">
        <v>10</v>
      </c>
      <c r="I149" s="8">
        <v>468.2</v>
      </c>
      <c r="J149" s="8">
        <v>0.15</v>
      </c>
      <c r="K149" s="14">
        <v>3979.7</v>
      </c>
      <c r="L149" t="s">
        <v>35</v>
      </c>
      <c r="M149" t="s">
        <v>36</v>
      </c>
      <c r="N149" s="14">
        <f>Table14[[#This Row],[Quantity]]*Table14[[#This Row],[UnitPrice]]*(1-Table14[[#This Row],[Discount]])</f>
        <v>3979.7</v>
      </c>
      <c r="O149" s="8">
        <f>YEAR(Table14[[#This Row],[OrderDate]])</f>
        <v>2025</v>
      </c>
      <c r="P149" s="8" t="str">
        <f>TEXT(Table14[[#This Row],[OrderDate]],"mmmm")</f>
        <v>September</v>
      </c>
      <c r="Q149" s="8" t="str">
        <f t="shared" si="6"/>
        <v>Q3</v>
      </c>
      <c r="R149" s="3">
        <f>Table14[[#This Row],[Revenue]]*25%</f>
        <v>994.92499999999995</v>
      </c>
      <c r="S149" s="3">
        <f t="shared" si="7"/>
        <v>716.34599999999989</v>
      </c>
      <c r="T149" s="14">
        <f t="shared" si="8"/>
        <v>3263.3539999999998</v>
      </c>
      <c r="U149" s="3" t="str">
        <f t="array" ref="U149">_xlfn.IFS(Table14[[#This Row],[Revenue]]&gt;10000,"High",AND(Table14[[#This Row],[Revenue]]&gt;=5000,Table14[[#This Row],[Revenue]]&lt;=10000),"Medium",Table14[[#This Row],[Revenue]]&lt;5000,"Low")</f>
        <v>Low</v>
      </c>
      <c r="V149" s="3"/>
    </row>
    <row r="150" spans="1:22" x14ac:dyDescent="0.35">
      <c r="A150" s="8">
        <v>1197</v>
      </c>
      <c r="B150" s="2">
        <v>45925</v>
      </c>
      <c r="C150" t="s">
        <v>27</v>
      </c>
      <c r="D150" t="s">
        <v>31</v>
      </c>
      <c r="E150" t="s">
        <v>75</v>
      </c>
      <c r="F150" t="s">
        <v>33</v>
      </c>
      <c r="G150" t="s">
        <v>53</v>
      </c>
      <c r="H150" s="8">
        <v>3</v>
      </c>
      <c r="I150" s="8">
        <v>358.72</v>
      </c>
      <c r="J150" s="8">
        <v>0.05</v>
      </c>
      <c r="K150" s="14">
        <v>1022.35</v>
      </c>
      <c r="L150" t="s">
        <v>39</v>
      </c>
      <c r="M150" t="s">
        <v>26</v>
      </c>
      <c r="N150" s="14">
        <f>Table14[[#This Row],[Quantity]]*Table14[[#This Row],[UnitPrice]]*(1-Table14[[#This Row],[Discount]])</f>
        <v>1022.352</v>
      </c>
      <c r="O150" s="8">
        <f>YEAR(Table14[[#This Row],[OrderDate]])</f>
        <v>2025</v>
      </c>
      <c r="P150" s="8" t="str">
        <f>TEXT(Table14[[#This Row],[OrderDate]],"mmmm")</f>
        <v>September</v>
      </c>
      <c r="Q150" s="8" t="str">
        <f t="shared" si="6"/>
        <v>Q3</v>
      </c>
      <c r="R150" s="3">
        <f>Table14[[#This Row],[Revenue]]*25%</f>
        <v>255.58750000000001</v>
      </c>
      <c r="S150" s="3">
        <f t="shared" si="7"/>
        <v>184.023</v>
      </c>
      <c r="T150" s="14">
        <f t="shared" si="8"/>
        <v>838.327</v>
      </c>
      <c r="U150" s="3" t="str">
        <f t="array" ref="U150">_xlfn.IFS(Table14[[#This Row],[Revenue]]&gt;10000,"High",AND(Table14[[#This Row],[Revenue]]&gt;=5000,Table14[[#This Row],[Revenue]]&lt;=10000),"Medium",Table14[[#This Row],[Revenue]]&lt;5000,"Low")</f>
        <v>Low</v>
      </c>
      <c r="V150" s="3"/>
    </row>
    <row r="151" spans="1:22" x14ac:dyDescent="0.35">
      <c r="A151" s="8">
        <v>1249</v>
      </c>
      <c r="B151" s="2">
        <v>45927</v>
      </c>
      <c r="C151" t="s">
        <v>21</v>
      </c>
      <c r="D151" t="s">
        <v>22</v>
      </c>
      <c r="E151" t="s">
        <v>113</v>
      </c>
      <c r="F151" t="s">
        <v>24</v>
      </c>
      <c r="G151" t="s">
        <v>38</v>
      </c>
      <c r="H151" s="8">
        <v>13</v>
      </c>
      <c r="I151" s="8">
        <v>339.22</v>
      </c>
      <c r="J151" s="8">
        <v>0.1</v>
      </c>
      <c r="K151" s="14">
        <v>3968.87</v>
      </c>
      <c r="L151" t="s">
        <v>35</v>
      </c>
      <c r="M151" t="s">
        <v>36</v>
      </c>
      <c r="N151" s="14">
        <f>Table14[[#This Row],[Quantity]]*Table14[[#This Row],[UnitPrice]]*(1-Table14[[#This Row],[Discount]])</f>
        <v>3968.8740000000007</v>
      </c>
      <c r="O151" s="8">
        <f>YEAR(Table14[[#This Row],[OrderDate]])</f>
        <v>2025</v>
      </c>
      <c r="P151" s="8" t="str">
        <f>TEXT(Table14[[#This Row],[OrderDate]],"mmmm")</f>
        <v>September</v>
      </c>
      <c r="Q151" s="8" t="str">
        <f t="shared" si="6"/>
        <v>Q3</v>
      </c>
      <c r="R151" s="3">
        <f>Table14[[#This Row],[Revenue]]*25%</f>
        <v>992.21749999999997</v>
      </c>
      <c r="S151" s="3">
        <f t="shared" si="7"/>
        <v>714.39659999999992</v>
      </c>
      <c r="T151" s="14">
        <f t="shared" si="8"/>
        <v>3254.4733999999999</v>
      </c>
      <c r="U151" s="3" t="str">
        <f t="array" ref="U151">_xlfn.IFS(Table14[[#This Row],[Revenue]]&gt;10000,"High",AND(Table14[[#This Row],[Revenue]]&gt;=5000,Table14[[#This Row],[Revenue]]&lt;=10000),"Medium",Table14[[#This Row],[Revenue]]&lt;5000,"Low")</f>
        <v>Low</v>
      </c>
      <c r="V151" s="3"/>
    </row>
    <row r="152" spans="1:22" x14ac:dyDescent="0.35">
      <c r="A152" s="8">
        <v>1067</v>
      </c>
      <c r="B152" s="2">
        <v>45933</v>
      </c>
      <c r="C152" t="s">
        <v>43</v>
      </c>
      <c r="D152" t="s">
        <v>22</v>
      </c>
      <c r="E152" t="s">
        <v>84</v>
      </c>
      <c r="F152" t="s">
        <v>24</v>
      </c>
      <c r="G152" t="s">
        <v>25</v>
      </c>
      <c r="H152" s="8">
        <v>7</v>
      </c>
      <c r="I152" s="8">
        <v>382.33</v>
      </c>
      <c r="J152" s="8">
        <v>0.05</v>
      </c>
      <c r="K152" s="14">
        <v>2542.4899999999998</v>
      </c>
      <c r="L152" t="s">
        <v>19</v>
      </c>
      <c r="M152" t="s">
        <v>20</v>
      </c>
      <c r="N152" s="14">
        <f>Table14[[#This Row],[Quantity]]*Table14[[#This Row],[UnitPrice]]*(1-Table14[[#This Row],[Discount]])</f>
        <v>2542.4944999999998</v>
      </c>
      <c r="O152" s="8">
        <f>YEAR(Table14[[#This Row],[OrderDate]])</f>
        <v>2025</v>
      </c>
      <c r="P152" s="8" t="str">
        <f>TEXT(Table14[[#This Row],[OrderDate]],"mmmm")</f>
        <v>October</v>
      </c>
      <c r="Q152" s="8" t="str">
        <f t="shared" si="6"/>
        <v>Q4</v>
      </c>
      <c r="R152" s="3">
        <f>Table14[[#This Row],[Revenue]]*25%</f>
        <v>635.62249999999995</v>
      </c>
      <c r="S152" s="3">
        <f t="shared" si="7"/>
        <v>457.64819999999992</v>
      </c>
      <c r="T152" s="14">
        <f t="shared" si="8"/>
        <v>2084.8417999999997</v>
      </c>
      <c r="U152" s="3" t="str">
        <f t="array" ref="U152">_xlfn.IFS(Table14[[#This Row],[Revenue]]&gt;10000,"High",AND(Table14[[#This Row],[Revenue]]&gt;=5000,Table14[[#This Row],[Revenue]]&lt;=10000),"Medium",Table14[[#This Row],[Revenue]]&lt;5000,"Low")</f>
        <v>Low</v>
      </c>
      <c r="V152" s="3"/>
    </row>
    <row r="153" spans="1:22" x14ac:dyDescent="0.35">
      <c r="A153" s="8">
        <v>1236</v>
      </c>
      <c r="B153" s="2">
        <v>45935</v>
      </c>
      <c r="C153" t="s">
        <v>21</v>
      </c>
      <c r="D153" t="s">
        <v>15</v>
      </c>
      <c r="E153" t="s">
        <v>85</v>
      </c>
      <c r="F153" t="s">
        <v>24</v>
      </c>
      <c r="G153" t="s">
        <v>25</v>
      </c>
      <c r="H153" s="8">
        <v>11</v>
      </c>
      <c r="I153" s="8">
        <v>845.44</v>
      </c>
      <c r="J153" s="8">
        <v>0.1</v>
      </c>
      <c r="K153" s="14">
        <v>8369.86</v>
      </c>
      <c r="L153" t="s">
        <v>35</v>
      </c>
      <c r="M153" t="s">
        <v>20</v>
      </c>
      <c r="N153" s="14">
        <f>Table14[[#This Row],[Quantity]]*Table14[[#This Row],[UnitPrice]]*(1-Table14[[#This Row],[Discount]])</f>
        <v>8369.8559999999998</v>
      </c>
      <c r="O153" s="8">
        <f>YEAR(Table14[[#This Row],[OrderDate]])</f>
        <v>2025</v>
      </c>
      <c r="P153" s="8" t="str">
        <f>TEXT(Table14[[#This Row],[OrderDate]],"mmmm")</f>
        <v>October</v>
      </c>
      <c r="Q153" s="8" t="str">
        <f t="shared" si="6"/>
        <v>Q4</v>
      </c>
      <c r="R153" s="3">
        <f>Table14[[#This Row],[Revenue]]*25%</f>
        <v>2092.4650000000001</v>
      </c>
      <c r="S153" s="3">
        <f t="shared" si="7"/>
        <v>1506.5748000000001</v>
      </c>
      <c r="T153" s="14">
        <f t="shared" si="8"/>
        <v>6863.2852000000003</v>
      </c>
      <c r="U153" s="3" t="str">
        <f t="array" ref="U153">_xlfn.IFS(Table14[[#This Row],[Revenue]]&gt;10000,"High",AND(Table14[[#This Row],[Revenue]]&gt;=5000,Table14[[#This Row],[Revenue]]&lt;=10000),"Medium",Table14[[#This Row],[Revenue]]&lt;5000,"Low")</f>
        <v>Medium</v>
      </c>
      <c r="V153" s="3"/>
    </row>
    <row r="154" spans="1:22" x14ac:dyDescent="0.35">
      <c r="A154" s="8">
        <v>1040</v>
      </c>
      <c r="B154" s="2">
        <v>45939</v>
      </c>
      <c r="C154" t="s">
        <v>21</v>
      </c>
      <c r="D154" t="s">
        <v>22</v>
      </c>
      <c r="E154" t="s">
        <v>108</v>
      </c>
      <c r="F154" t="s">
        <v>24</v>
      </c>
      <c r="G154" t="s">
        <v>38</v>
      </c>
      <c r="H154" s="8">
        <v>4</v>
      </c>
      <c r="I154" s="8">
        <v>714</v>
      </c>
      <c r="J154" s="8">
        <v>0</v>
      </c>
      <c r="K154" s="14">
        <v>2856</v>
      </c>
      <c r="L154" t="s">
        <v>39</v>
      </c>
      <c r="M154" t="s">
        <v>26</v>
      </c>
      <c r="N154" s="14">
        <f>Table14[[#This Row],[Quantity]]*Table14[[#This Row],[UnitPrice]]*(1-Table14[[#This Row],[Discount]])</f>
        <v>2856</v>
      </c>
      <c r="O154" s="8">
        <f>YEAR(Table14[[#This Row],[OrderDate]])</f>
        <v>2025</v>
      </c>
      <c r="P154" s="8" t="str">
        <f>TEXT(Table14[[#This Row],[OrderDate]],"mmmm")</f>
        <v>October</v>
      </c>
      <c r="Q154" s="8" t="str">
        <f t="shared" si="6"/>
        <v>Q4</v>
      </c>
      <c r="R154" s="3">
        <f>Table14[[#This Row],[Revenue]]*25%</f>
        <v>714</v>
      </c>
      <c r="S154" s="3">
        <f t="shared" si="7"/>
        <v>514.07999999999993</v>
      </c>
      <c r="T154" s="14">
        <f t="shared" si="8"/>
        <v>2341.92</v>
      </c>
      <c r="U154" s="3" t="str">
        <f t="array" ref="U154">_xlfn.IFS(Table14[[#This Row],[Revenue]]&gt;10000,"High",AND(Table14[[#This Row],[Revenue]]&gt;=5000,Table14[[#This Row],[Revenue]]&lt;=10000),"Medium",Table14[[#This Row],[Revenue]]&lt;5000,"Low")</f>
        <v>Low</v>
      </c>
      <c r="V154" s="3"/>
    </row>
    <row r="155" spans="1:22" x14ac:dyDescent="0.35">
      <c r="A155" s="8">
        <v>1296</v>
      </c>
      <c r="B155" s="2">
        <v>45939</v>
      </c>
      <c r="C155" t="s">
        <v>27</v>
      </c>
      <c r="D155" t="s">
        <v>31</v>
      </c>
      <c r="E155" t="s">
        <v>83</v>
      </c>
      <c r="F155" t="s">
        <v>17</v>
      </c>
      <c r="G155" t="s">
        <v>18</v>
      </c>
      <c r="H155" s="8">
        <v>11</v>
      </c>
      <c r="I155" s="8">
        <v>738.18</v>
      </c>
      <c r="J155" s="8">
        <v>0.15</v>
      </c>
      <c r="K155" s="14">
        <v>6901.98</v>
      </c>
      <c r="L155" t="s">
        <v>39</v>
      </c>
      <c r="M155" t="s">
        <v>36</v>
      </c>
      <c r="N155" s="14">
        <f>Table14[[#This Row],[Quantity]]*Table14[[#This Row],[UnitPrice]]*(1-Table14[[#This Row],[Discount]])</f>
        <v>6901.9829999999993</v>
      </c>
      <c r="O155" s="8">
        <f>YEAR(Table14[[#This Row],[OrderDate]])</f>
        <v>2025</v>
      </c>
      <c r="P155" s="8" t="str">
        <f>TEXT(Table14[[#This Row],[OrderDate]],"mmmm")</f>
        <v>October</v>
      </c>
      <c r="Q155" s="8" t="str">
        <f t="shared" si="6"/>
        <v>Q4</v>
      </c>
      <c r="R155" s="3">
        <f>Table14[[#This Row],[Revenue]]*25%</f>
        <v>1725.4949999999999</v>
      </c>
      <c r="S155" s="3">
        <f t="shared" si="7"/>
        <v>1242.3563999999999</v>
      </c>
      <c r="T155" s="14">
        <f t="shared" si="8"/>
        <v>5659.6235999999999</v>
      </c>
      <c r="U155" s="3" t="str">
        <f t="array" ref="U155">_xlfn.IFS(Table14[[#This Row],[Revenue]]&gt;10000,"High",AND(Table14[[#This Row],[Revenue]]&gt;=5000,Table14[[#This Row],[Revenue]]&lt;=10000),"Medium",Table14[[#This Row],[Revenue]]&lt;5000,"Low")</f>
        <v>Medium</v>
      </c>
      <c r="V155" s="3"/>
    </row>
    <row r="156" spans="1:22" x14ac:dyDescent="0.35">
      <c r="A156" s="8">
        <v>1105</v>
      </c>
      <c r="B156" s="2">
        <v>45940</v>
      </c>
      <c r="C156" t="s">
        <v>14</v>
      </c>
      <c r="D156" t="s">
        <v>15</v>
      </c>
      <c r="E156" t="s">
        <v>88</v>
      </c>
      <c r="F156" t="s">
        <v>33</v>
      </c>
      <c r="G156" t="s">
        <v>61</v>
      </c>
      <c r="H156" s="8">
        <v>13</v>
      </c>
      <c r="I156" s="8">
        <v>778.87</v>
      </c>
      <c r="J156" s="8">
        <v>0.05</v>
      </c>
      <c r="K156" s="14">
        <v>9619.0400000000009</v>
      </c>
      <c r="L156" t="s">
        <v>19</v>
      </c>
      <c r="M156" t="s">
        <v>20</v>
      </c>
      <c r="N156" s="14">
        <f>Table14[[#This Row],[Quantity]]*Table14[[#This Row],[UnitPrice]]*(1-Table14[[#This Row],[Discount]])</f>
        <v>9619.0445</v>
      </c>
      <c r="O156" s="8">
        <f>YEAR(Table14[[#This Row],[OrderDate]])</f>
        <v>2025</v>
      </c>
      <c r="P156" s="8" t="str">
        <f>TEXT(Table14[[#This Row],[OrderDate]],"mmmm")</f>
        <v>October</v>
      </c>
      <c r="Q156" s="8" t="str">
        <f t="shared" si="6"/>
        <v>Q4</v>
      </c>
      <c r="R156" s="3">
        <f>Table14[[#This Row],[Revenue]]*25%</f>
        <v>2404.7600000000002</v>
      </c>
      <c r="S156" s="3">
        <f t="shared" si="7"/>
        <v>1731.4272000000001</v>
      </c>
      <c r="T156" s="14">
        <f t="shared" si="8"/>
        <v>7887.6128000000008</v>
      </c>
      <c r="U156" s="3" t="str">
        <f t="array" ref="U156">_xlfn.IFS(Table14[[#This Row],[Revenue]]&gt;10000,"High",AND(Table14[[#This Row],[Revenue]]&gt;=5000,Table14[[#This Row],[Revenue]]&lt;=10000),"Medium",Table14[[#This Row],[Revenue]]&lt;5000,"Low")</f>
        <v>Medium</v>
      </c>
      <c r="V156" s="3"/>
    </row>
    <row r="157" spans="1:22" x14ac:dyDescent="0.35">
      <c r="A157" s="8">
        <v>1291</v>
      </c>
      <c r="B157" s="2">
        <v>45941</v>
      </c>
      <c r="C157" t="s">
        <v>21</v>
      </c>
      <c r="D157" t="s">
        <v>28</v>
      </c>
      <c r="E157" t="s">
        <v>82</v>
      </c>
      <c r="F157" t="s">
        <v>17</v>
      </c>
      <c r="G157" t="s">
        <v>30</v>
      </c>
      <c r="H157" s="8">
        <v>4</v>
      </c>
      <c r="I157" s="8">
        <v>882.92</v>
      </c>
      <c r="J157" s="8">
        <v>0.1</v>
      </c>
      <c r="K157" s="14">
        <v>3178.51</v>
      </c>
      <c r="L157" t="s">
        <v>35</v>
      </c>
      <c r="M157" t="s">
        <v>36</v>
      </c>
      <c r="N157" s="14">
        <f>Table14[[#This Row],[Quantity]]*Table14[[#This Row],[UnitPrice]]*(1-Table14[[#This Row],[Discount]])</f>
        <v>3178.5119999999997</v>
      </c>
      <c r="O157" s="8">
        <f>YEAR(Table14[[#This Row],[OrderDate]])</f>
        <v>2025</v>
      </c>
      <c r="P157" s="8" t="str">
        <f>TEXT(Table14[[#This Row],[OrderDate]],"mmmm")</f>
        <v>October</v>
      </c>
      <c r="Q157" s="8" t="str">
        <f t="shared" si="6"/>
        <v>Q4</v>
      </c>
      <c r="R157" s="3">
        <f>Table14[[#This Row],[Revenue]]*25%</f>
        <v>794.62750000000005</v>
      </c>
      <c r="S157" s="3">
        <f t="shared" si="7"/>
        <v>572.1318</v>
      </c>
      <c r="T157" s="14">
        <f t="shared" si="8"/>
        <v>2606.3782000000001</v>
      </c>
      <c r="U157" s="3" t="str">
        <f t="array" ref="U157">_xlfn.IFS(Table14[[#This Row],[Revenue]]&gt;10000,"High",AND(Table14[[#This Row],[Revenue]]&gt;=5000,Table14[[#This Row],[Revenue]]&lt;=10000),"Medium",Table14[[#This Row],[Revenue]]&lt;5000,"Low")</f>
        <v>Low</v>
      </c>
      <c r="V157" s="3"/>
    </row>
    <row r="158" spans="1:22" x14ac:dyDescent="0.35">
      <c r="A158" s="8">
        <v>1038</v>
      </c>
      <c r="B158" s="2">
        <v>45942</v>
      </c>
      <c r="C158" t="s">
        <v>14</v>
      </c>
      <c r="D158" t="s">
        <v>28</v>
      </c>
      <c r="E158" t="s">
        <v>41</v>
      </c>
      <c r="F158" t="s">
        <v>33</v>
      </c>
      <c r="G158" t="s">
        <v>61</v>
      </c>
      <c r="H158" s="8">
        <v>5</v>
      </c>
      <c r="I158" s="8">
        <v>229.27</v>
      </c>
      <c r="J158" s="8">
        <v>0.15</v>
      </c>
      <c r="K158" s="14">
        <v>974.4</v>
      </c>
      <c r="L158" t="s">
        <v>39</v>
      </c>
      <c r="M158" t="s">
        <v>20</v>
      </c>
      <c r="N158" s="14">
        <f>Table14[[#This Row],[Quantity]]*Table14[[#This Row],[UnitPrice]]*(1-Table14[[#This Row],[Discount]])</f>
        <v>974.39750000000004</v>
      </c>
      <c r="O158" s="8">
        <f>YEAR(Table14[[#This Row],[OrderDate]])</f>
        <v>2025</v>
      </c>
      <c r="P158" s="8" t="str">
        <f>TEXT(Table14[[#This Row],[OrderDate]],"mmmm")</f>
        <v>October</v>
      </c>
      <c r="Q158" s="8" t="str">
        <f t="shared" si="6"/>
        <v>Q4</v>
      </c>
      <c r="R158" s="3">
        <f>Table14[[#This Row],[Revenue]]*25%</f>
        <v>243.6</v>
      </c>
      <c r="S158" s="3">
        <f t="shared" si="7"/>
        <v>175.392</v>
      </c>
      <c r="T158" s="14">
        <f t="shared" si="8"/>
        <v>799.00800000000004</v>
      </c>
      <c r="U158" s="3" t="str">
        <f t="array" ref="U158">_xlfn.IFS(Table14[[#This Row],[Revenue]]&gt;10000,"High",AND(Table14[[#This Row],[Revenue]]&gt;=5000,Table14[[#This Row],[Revenue]]&lt;=10000),"Medium",Table14[[#This Row],[Revenue]]&lt;5000,"Low")</f>
        <v>Low</v>
      </c>
      <c r="V158" s="3"/>
    </row>
    <row r="159" spans="1:22" x14ac:dyDescent="0.35">
      <c r="A159" s="8">
        <v>1191</v>
      </c>
      <c r="B159" s="2">
        <v>45946</v>
      </c>
      <c r="C159" t="s">
        <v>27</v>
      </c>
      <c r="D159" t="s">
        <v>54</v>
      </c>
      <c r="E159" t="s">
        <v>94</v>
      </c>
      <c r="F159" t="s">
        <v>17</v>
      </c>
      <c r="G159" t="s">
        <v>30</v>
      </c>
      <c r="H159" s="8">
        <v>3</v>
      </c>
      <c r="I159" s="8">
        <v>42.16</v>
      </c>
      <c r="J159" s="8">
        <v>0.05</v>
      </c>
      <c r="K159" s="14">
        <v>120.16</v>
      </c>
      <c r="L159" t="s">
        <v>39</v>
      </c>
      <c r="M159" t="s">
        <v>36</v>
      </c>
      <c r="N159" s="14">
        <f>Table14[[#This Row],[Quantity]]*Table14[[#This Row],[UnitPrice]]*(1-Table14[[#This Row],[Discount]])</f>
        <v>120.15599999999999</v>
      </c>
      <c r="O159" s="8">
        <f>YEAR(Table14[[#This Row],[OrderDate]])</f>
        <v>2025</v>
      </c>
      <c r="P159" s="8" t="str">
        <f>TEXT(Table14[[#This Row],[OrderDate]],"mmmm")</f>
        <v>October</v>
      </c>
      <c r="Q159" s="8" t="str">
        <f t="shared" si="6"/>
        <v>Q4</v>
      </c>
      <c r="R159" s="3">
        <f>Table14[[#This Row],[Revenue]]*25%</f>
        <v>30.04</v>
      </c>
      <c r="S159" s="3">
        <f t="shared" si="7"/>
        <v>21.628799999999998</v>
      </c>
      <c r="T159" s="14">
        <f t="shared" si="8"/>
        <v>98.531199999999998</v>
      </c>
      <c r="U159" s="3" t="str">
        <f t="array" ref="U159">_xlfn.IFS(Table14[[#This Row],[Revenue]]&gt;10000,"High",AND(Table14[[#This Row],[Revenue]]&gt;=5000,Table14[[#This Row],[Revenue]]&lt;=10000),"Medium",Table14[[#This Row],[Revenue]]&lt;5000,"Low")</f>
        <v>Low</v>
      </c>
      <c r="V159" s="3"/>
    </row>
    <row r="160" spans="1:22" x14ac:dyDescent="0.35">
      <c r="A160" s="8">
        <v>1134</v>
      </c>
      <c r="B160" s="2">
        <v>45947</v>
      </c>
      <c r="C160" t="s">
        <v>27</v>
      </c>
      <c r="D160" t="s">
        <v>28</v>
      </c>
      <c r="E160" t="s">
        <v>23</v>
      </c>
      <c r="F160" t="s">
        <v>17</v>
      </c>
      <c r="G160" t="s">
        <v>18</v>
      </c>
      <c r="H160" s="8">
        <v>12</v>
      </c>
      <c r="I160" s="8">
        <v>306.14999999999998</v>
      </c>
      <c r="J160" s="8">
        <v>0.05</v>
      </c>
      <c r="K160" s="14">
        <v>3490.11</v>
      </c>
      <c r="L160" t="s">
        <v>35</v>
      </c>
      <c r="M160" t="s">
        <v>20</v>
      </c>
      <c r="N160" s="14">
        <f>Table14[[#This Row],[Quantity]]*Table14[[#This Row],[UnitPrice]]*(1-Table14[[#This Row],[Discount]])</f>
        <v>3490.1099999999997</v>
      </c>
      <c r="O160" s="8">
        <f>YEAR(Table14[[#This Row],[OrderDate]])</f>
        <v>2025</v>
      </c>
      <c r="P160" s="8" t="str">
        <f>TEXT(Table14[[#This Row],[OrderDate]],"mmmm")</f>
        <v>October</v>
      </c>
      <c r="Q160" s="8" t="str">
        <f t="shared" si="6"/>
        <v>Q4</v>
      </c>
      <c r="R160" s="3">
        <f>Table14[[#This Row],[Revenue]]*25%</f>
        <v>872.52750000000003</v>
      </c>
      <c r="S160" s="3">
        <f t="shared" si="7"/>
        <v>628.21979999999996</v>
      </c>
      <c r="T160" s="14">
        <f t="shared" si="8"/>
        <v>2861.8902000000003</v>
      </c>
      <c r="U160" s="3" t="str">
        <f t="array" ref="U160">_xlfn.IFS(Table14[[#This Row],[Revenue]]&gt;10000,"High",AND(Table14[[#This Row],[Revenue]]&gt;=5000,Table14[[#This Row],[Revenue]]&lt;=10000),"Medium",Table14[[#This Row],[Revenue]]&lt;5000,"Low")</f>
        <v>Low</v>
      </c>
      <c r="V160" s="3"/>
    </row>
    <row r="161" spans="1:22" x14ac:dyDescent="0.35">
      <c r="A161" s="8">
        <v>1254</v>
      </c>
      <c r="B161" s="2">
        <v>45947</v>
      </c>
      <c r="C161" t="s">
        <v>14</v>
      </c>
      <c r="D161" t="s">
        <v>15</v>
      </c>
      <c r="E161" t="s">
        <v>73</v>
      </c>
      <c r="F161" t="s">
        <v>24</v>
      </c>
      <c r="G161" t="s">
        <v>38</v>
      </c>
      <c r="H161" s="8">
        <v>1</v>
      </c>
      <c r="I161" s="8">
        <v>15.14</v>
      </c>
      <c r="J161" s="8">
        <v>0</v>
      </c>
      <c r="K161" s="14">
        <v>15.14</v>
      </c>
      <c r="L161" t="s">
        <v>39</v>
      </c>
      <c r="M161" t="s">
        <v>20</v>
      </c>
      <c r="N161" s="14">
        <f>Table14[[#This Row],[Quantity]]*Table14[[#This Row],[UnitPrice]]*(1-Table14[[#This Row],[Discount]])</f>
        <v>15.14</v>
      </c>
      <c r="O161" s="8">
        <f>YEAR(Table14[[#This Row],[OrderDate]])</f>
        <v>2025</v>
      </c>
      <c r="P161" s="8" t="str">
        <f>TEXT(Table14[[#This Row],[OrderDate]],"mmmm")</f>
        <v>October</v>
      </c>
      <c r="Q161" s="8" t="str">
        <f t="shared" si="6"/>
        <v>Q4</v>
      </c>
      <c r="R161" s="3">
        <f>Table14[[#This Row],[Revenue]]*25%</f>
        <v>3.7850000000000001</v>
      </c>
      <c r="S161" s="3">
        <f t="shared" si="7"/>
        <v>2.7252000000000001</v>
      </c>
      <c r="T161" s="14">
        <f t="shared" si="8"/>
        <v>12.4148</v>
      </c>
      <c r="U161" s="3" t="str">
        <f t="array" ref="U161">_xlfn.IFS(Table14[[#This Row],[Revenue]]&gt;10000,"High",AND(Table14[[#This Row],[Revenue]]&gt;=5000,Table14[[#This Row],[Revenue]]&lt;=10000),"Medium",Table14[[#This Row],[Revenue]]&lt;5000,"Low")</f>
        <v>Low</v>
      </c>
      <c r="V161" s="3"/>
    </row>
    <row r="162" spans="1:22" x14ac:dyDescent="0.35">
      <c r="A162" s="8">
        <v>1282</v>
      </c>
      <c r="B162" s="2">
        <v>45949</v>
      </c>
      <c r="C162" t="s">
        <v>14</v>
      </c>
      <c r="D162" t="s">
        <v>47</v>
      </c>
      <c r="E162" t="s">
        <v>42</v>
      </c>
      <c r="F162" t="s">
        <v>33</v>
      </c>
      <c r="G162" t="s">
        <v>61</v>
      </c>
      <c r="H162" s="8">
        <v>12</v>
      </c>
      <c r="I162" s="8">
        <v>753.77</v>
      </c>
      <c r="J162" s="8">
        <v>0.1</v>
      </c>
      <c r="K162" s="14">
        <v>8140.72</v>
      </c>
      <c r="L162" t="s">
        <v>39</v>
      </c>
      <c r="M162" t="s">
        <v>36</v>
      </c>
      <c r="N162" s="14">
        <f>Table14[[#This Row],[Quantity]]*Table14[[#This Row],[UnitPrice]]*(1-Table14[[#This Row],[Discount]])</f>
        <v>8140.7160000000003</v>
      </c>
      <c r="O162" s="8">
        <f>YEAR(Table14[[#This Row],[OrderDate]])</f>
        <v>2025</v>
      </c>
      <c r="P162" s="8" t="str">
        <f>TEXT(Table14[[#This Row],[OrderDate]],"mmmm")</f>
        <v>October</v>
      </c>
      <c r="Q162" s="8" t="str">
        <f t="shared" si="6"/>
        <v>Q4</v>
      </c>
      <c r="R162" s="3">
        <f>Table14[[#This Row],[Revenue]]*25%</f>
        <v>2035.18</v>
      </c>
      <c r="S162" s="3">
        <f t="shared" si="7"/>
        <v>1465.3296</v>
      </c>
      <c r="T162" s="14">
        <f t="shared" si="8"/>
        <v>6675.3904000000002</v>
      </c>
      <c r="U162" s="3" t="str">
        <f t="array" ref="U162">_xlfn.IFS(Table14[[#This Row],[Revenue]]&gt;10000,"High",AND(Table14[[#This Row],[Revenue]]&gt;=5000,Table14[[#This Row],[Revenue]]&lt;=10000),"Medium",Table14[[#This Row],[Revenue]]&lt;5000,"Low")</f>
        <v>Medium</v>
      </c>
      <c r="V162" s="3"/>
    </row>
    <row r="163" spans="1:22" x14ac:dyDescent="0.35">
      <c r="A163" s="8">
        <v>1229</v>
      </c>
      <c r="B163" s="2">
        <v>45951</v>
      </c>
      <c r="C163" t="s">
        <v>43</v>
      </c>
      <c r="D163" t="s">
        <v>31</v>
      </c>
      <c r="E163" t="s">
        <v>94</v>
      </c>
      <c r="F163" t="s">
        <v>24</v>
      </c>
      <c r="G163" t="s">
        <v>63</v>
      </c>
      <c r="H163" s="8">
        <v>7</v>
      </c>
      <c r="I163" s="8">
        <v>139.15</v>
      </c>
      <c r="J163" s="8">
        <v>0</v>
      </c>
      <c r="K163" s="14">
        <v>974.05</v>
      </c>
      <c r="L163" t="s">
        <v>39</v>
      </c>
      <c r="M163" t="s">
        <v>26</v>
      </c>
      <c r="N163" s="14">
        <f>Table14[[#This Row],[Quantity]]*Table14[[#This Row],[UnitPrice]]*(1-Table14[[#This Row],[Discount]])</f>
        <v>974.05000000000007</v>
      </c>
      <c r="O163" s="8">
        <f>YEAR(Table14[[#This Row],[OrderDate]])</f>
        <v>2025</v>
      </c>
      <c r="P163" s="8" t="str">
        <f>TEXT(Table14[[#This Row],[OrderDate]],"mmmm")</f>
        <v>October</v>
      </c>
      <c r="Q163" s="8" t="str">
        <f t="shared" si="6"/>
        <v>Q4</v>
      </c>
      <c r="R163" s="3">
        <f>Table14[[#This Row],[Revenue]]*25%</f>
        <v>243.51249999999999</v>
      </c>
      <c r="S163" s="3">
        <f t="shared" si="7"/>
        <v>175.32899999999998</v>
      </c>
      <c r="T163" s="14">
        <f t="shared" si="8"/>
        <v>798.721</v>
      </c>
      <c r="U163" s="3" t="str">
        <f t="array" ref="U163">_xlfn.IFS(Table14[[#This Row],[Revenue]]&gt;10000,"High",AND(Table14[[#This Row],[Revenue]]&gt;=5000,Table14[[#This Row],[Revenue]]&lt;=10000),"Medium",Table14[[#This Row],[Revenue]]&lt;5000,"Low")</f>
        <v>Low</v>
      </c>
      <c r="V163" s="3"/>
    </row>
    <row r="164" spans="1:22" x14ac:dyDescent="0.35">
      <c r="A164" s="8">
        <v>1234</v>
      </c>
      <c r="B164" s="2">
        <v>45959</v>
      </c>
      <c r="C164" t="s">
        <v>43</v>
      </c>
      <c r="D164" t="s">
        <v>31</v>
      </c>
      <c r="E164" t="s">
        <v>114</v>
      </c>
      <c r="F164" t="s">
        <v>33</v>
      </c>
      <c r="G164" t="s">
        <v>61</v>
      </c>
      <c r="H164" s="8">
        <v>12</v>
      </c>
      <c r="I164" s="8">
        <v>219.81</v>
      </c>
      <c r="J164" s="8">
        <v>0</v>
      </c>
      <c r="K164" s="14">
        <v>2637.72</v>
      </c>
      <c r="L164" t="s">
        <v>39</v>
      </c>
      <c r="M164" t="s">
        <v>20</v>
      </c>
      <c r="N164" s="14">
        <f>Table14[[#This Row],[Quantity]]*Table14[[#This Row],[UnitPrice]]*(1-Table14[[#This Row],[Discount]])</f>
        <v>2637.7200000000003</v>
      </c>
      <c r="O164" s="8">
        <f>YEAR(Table14[[#This Row],[OrderDate]])</f>
        <v>2025</v>
      </c>
      <c r="P164" s="8" t="str">
        <f>TEXT(Table14[[#This Row],[OrderDate]],"mmmm")</f>
        <v>October</v>
      </c>
      <c r="Q164" s="8" t="str">
        <f t="shared" si="6"/>
        <v>Q4</v>
      </c>
      <c r="R164" s="3">
        <f>Table14[[#This Row],[Revenue]]*25%</f>
        <v>659.43</v>
      </c>
      <c r="S164" s="3">
        <f t="shared" si="7"/>
        <v>474.78959999999995</v>
      </c>
      <c r="T164" s="14">
        <f t="shared" si="8"/>
        <v>2162.9303999999997</v>
      </c>
      <c r="U164" s="3" t="str">
        <f t="array" ref="U164">_xlfn.IFS(Table14[[#This Row],[Revenue]]&gt;10000,"High",AND(Table14[[#This Row],[Revenue]]&gt;=5000,Table14[[#This Row],[Revenue]]&lt;=10000),"Medium",Table14[[#This Row],[Revenue]]&lt;5000,"Low")</f>
        <v>Low</v>
      </c>
      <c r="V164" s="3"/>
    </row>
    <row r="165" spans="1:22" x14ac:dyDescent="0.35">
      <c r="A165" s="8">
        <v>1142</v>
      </c>
      <c r="B165" s="2">
        <v>45962</v>
      </c>
      <c r="C165" t="s">
        <v>21</v>
      </c>
      <c r="D165" t="s">
        <v>47</v>
      </c>
      <c r="E165" t="s">
        <v>67</v>
      </c>
      <c r="F165" t="s">
        <v>24</v>
      </c>
      <c r="G165" t="s">
        <v>38</v>
      </c>
      <c r="H165" s="8">
        <v>9</v>
      </c>
      <c r="I165" s="8">
        <v>252.58</v>
      </c>
      <c r="J165" s="8">
        <v>0</v>
      </c>
      <c r="K165" s="14">
        <v>2273.2199999999998</v>
      </c>
      <c r="L165" t="s">
        <v>39</v>
      </c>
      <c r="M165" t="s">
        <v>20</v>
      </c>
      <c r="N165" s="14">
        <f>Table14[[#This Row],[Quantity]]*Table14[[#This Row],[UnitPrice]]*(1-Table14[[#This Row],[Discount]])</f>
        <v>2273.2200000000003</v>
      </c>
      <c r="O165" s="8">
        <f>YEAR(Table14[[#This Row],[OrderDate]])</f>
        <v>2025</v>
      </c>
      <c r="P165" s="8" t="str">
        <f>TEXT(Table14[[#This Row],[OrderDate]],"mmmm")</f>
        <v>November</v>
      </c>
      <c r="Q165" s="8" t="str">
        <f t="shared" si="6"/>
        <v>Q4</v>
      </c>
      <c r="R165" s="3">
        <f>Table14[[#This Row],[Revenue]]*25%</f>
        <v>568.30499999999995</v>
      </c>
      <c r="S165" s="3">
        <f t="shared" si="7"/>
        <v>409.17959999999994</v>
      </c>
      <c r="T165" s="14">
        <f t="shared" si="8"/>
        <v>1864.0403999999999</v>
      </c>
      <c r="U165" s="3" t="str">
        <f t="array" ref="U165">_xlfn.IFS(Table14[[#This Row],[Revenue]]&gt;10000,"High",AND(Table14[[#This Row],[Revenue]]&gt;=5000,Table14[[#This Row],[Revenue]]&lt;=10000),"Medium",Table14[[#This Row],[Revenue]]&lt;5000,"Low")</f>
        <v>Low</v>
      </c>
      <c r="V165" s="3"/>
    </row>
    <row r="166" spans="1:22" x14ac:dyDescent="0.35">
      <c r="A166" s="8">
        <v>1289</v>
      </c>
      <c r="B166" s="2">
        <v>45962</v>
      </c>
      <c r="C166" t="s">
        <v>14</v>
      </c>
      <c r="D166" t="s">
        <v>22</v>
      </c>
      <c r="E166" t="s">
        <v>71</v>
      </c>
      <c r="F166" t="s">
        <v>17</v>
      </c>
      <c r="G166" t="s">
        <v>18</v>
      </c>
      <c r="H166" s="8">
        <v>15</v>
      </c>
      <c r="I166" s="8">
        <v>1129.8399999999999</v>
      </c>
      <c r="J166" s="8">
        <v>0.15</v>
      </c>
      <c r="K166" s="14">
        <v>14405.46</v>
      </c>
      <c r="L166" t="s">
        <v>19</v>
      </c>
      <c r="M166" t="s">
        <v>36</v>
      </c>
      <c r="N166" s="14">
        <f>Table14[[#This Row],[Quantity]]*Table14[[#This Row],[UnitPrice]]*(1-Table14[[#This Row],[Discount]])</f>
        <v>14405.46</v>
      </c>
      <c r="O166" s="8">
        <f>YEAR(Table14[[#This Row],[OrderDate]])</f>
        <v>2025</v>
      </c>
      <c r="P166" s="8" t="str">
        <f>TEXT(Table14[[#This Row],[OrderDate]],"mmmm")</f>
        <v>November</v>
      </c>
      <c r="Q166" s="8" t="str">
        <f t="shared" si="6"/>
        <v>Q4</v>
      </c>
      <c r="R166" s="3">
        <f>Table14[[#This Row],[Revenue]]*25%</f>
        <v>3601.3649999999998</v>
      </c>
      <c r="S166" s="3">
        <f t="shared" si="7"/>
        <v>2592.9827999999998</v>
      </c>
      <c r="T166" s="14">
        <f t="shared" si="8"/>
        <v>11812.477199999999</v>
      </c>
      <c r="U166" s="3" t="str">
        <f t="array" ref="U166">_xlfn.IFS(Table14[[#This Row],[Revenue]]&gt;10000,"High",AND(Table14[[#This Row],[Revenue]]&gt;=5000,Table14[[#This Row],[Revenue]]&lt;=10000),"Medium",Table14[[#This Row],[Revenue]]&lt;5000,"Low")</f>
        <v>High</v>
      </c>
      <c r="V166" s="3"/>
    </row>
    <row r="167" spans="1:22" x14ac:dyDescent="0.35">
      <c r="A167" s="8">
        <v>1082</v>
      </c>
      <c r="B167" s="2">
        <v>45964</v>
      </c>
      <c r="C167" t="s">
        <v>43</v>
      </c>
      <c r="D167" t="s">
        <v>28</v>
      </c>
      <c r="E167" t="s">
        <v>90</v>
      </c>
      <c r="F167" t="s">
        <v>24</v>
      </c>
      <c r="G167" t="s">
        <v>63</v>
      </c>
      <c r="H167" s="8">
        <v>15</v>
      </c>
      <c r="I167" s="8">
        <v>515.29</v>
      </c>
      <c r="J167" s="8">
        <v>0.15</v>
      </c>
      <c r="K167" s="14">
        <v>6569.95</v>
      </c>
      <c r="L167" t="s">
        <v>35</v>
      </c>
      <c r="M167" t="s">
        <v>36</v>
      </c>
      <c r="N167" s="14">
        <f>Table14[[#This Row],[Quantity]]*Table14[[#This Row],[UnitPrice]]*(1-Table14[[#This Row],[Discount]])</f>
        <v>6569.9474999999993</v>
      </c>
      <c r="O167" s="8">
        <f>YEAR(Table14[[#This Row],[OrderDate]])</f>
        <v>2025</v>
      </c>
      <c r="P167" s="8" t="str">
        <f>TEXT(Table14[[#This Row],[OrderDate]],"mmmm")</f>
        <v>November</v>
      </c>
      <c r="Q167" s="8" t="str">
        <f t="shared" si="6"/>
        <v>Q4</v>
      </c>
      <c r="R167" s="3">
        <f>Table14[[#This Row],[Revenue]]*25%</f>
        <v>1642.4875</v>
      </c>
      <c r="S167" s="3">
        <f t="shared" si="7"/>
        <v>1182.5909999999999</v>
      </c>
      <c r="T167" s="14">
        <f t="shared" si="8"/>
        <v>5387.3590000000004</v>
      </c>
      <c r="U167" s="3" t="str">
        <f t="array" ref="U167">_xlfn.IFS(Table14[[#This Row],[Revenue]]&gt;10000,"High",AND(Table14[[#This Row],[Revenue]]&gt;=5000,Table14[[#This Row],[Revenue]]&lt;=10000),"Medium",Table14[[#This Row],[Revenue]]&lt;5000,"Low")</f>
        <v>Medium</v>
      </c>
      <c r="V167" s="3"/>
    </row>
    <row r="168" spans="1:22" x14ac:dyDescent="0.35">
      <c r="A168" s="8">
        <v>1148</v>
      </c>
      <c r="B168" s="2">
        <v>45964</v>
      </c>
      <c r="C168" t="s">
        <v>21</v>
      </c>
      <c r="D168" t="s">
        <v>22</v>
      </c>
      <c r="E168" t="s">
        <v>100</v>
      </c>
      <c r="F168" t="s">
        <v>24</v>
      </c>
      <c r="G168" t="s">
        <v>38</v>
      </c>
      <c r="H168" s="8">
        <v>2</v>
      </c>
      <c r="I168" s="8">
        <v>680.68</v>
      </c>
      <c r="J168" s="8">
        <v>0</v>
      </c>
      <c r="K168" s="14">
        <v>1361.36</v>
      </c>
      <c r="L168" t="s">
        <v>35</v>
      </c>
      <c r="M168" t="s">
        <v>20</v>
      </c>
      <c r="N168" s="14">
        <f>Table14[[#This Row],[Quantity]]*Table14[[#This Row],[UnitPrice]]*(1-Table14[[#This Row],[Discount]])</f>
        <v>1361.36</v>
      </c>
      <c r="O168" s="8">
        <f>YEAR(Table14[[#This Row],[OrderDate]])</f>
        <v>2025</v>
      </c>
      <c r="P168" s="8" t="str">
        <f>TEXT(Table14[[#This Row],[OrderDate]],"mmmm")</f>
        <v>November</v>
      </c>
      <c r="Q168" s="8" t="str">
        <f t="shared" si="6"/>
        <v>Q4</v>
      </c>
      <c r="R168" s="3">
        <f>Table14[[#This Row],[Revenue]]*25%</f>
        <v>340.34</v>
      </c>
      <c r="S168" s="3">
        <f t="shared" si="7"/>
        <v>245.04479999999998</v>
      </c>
      <c r="T168" s="14">
        <f t="shared" si="8"/>
        <v>1116.3152</v>
      </c>
      <c r="U168" s="3" t="str">
        <f t="array" ref="U168">_xlfn.IFS(Table14[[#This Row],[Revenue]]&gt;10000,"High",AND(Table14[[#This Row],[Revenue]]&gt;=5000,Table14[[#This Row],[Revenue]]&lt;=10000),"Medium",Table14[[#This Row],[Revenue]]&lt;5000,"Low")</f>
        <v>Low</v>
      </c>
      <c r="V168" s="3"/>
    </row>
    <row r="169" spans="1:22" x14ac:dyDescent="0.35">
      <c r="A169" s="8">
        <v>1022</v>
      </c>
      <c r="B169" s="2">
        <v>45965</v>
      </c>
      <c r="C169" t="s">
        <v>43</v>
      </c>
      <c r="D169" t="s">
        <v>31</v>
      </c>
      <c r="E169" t="s">
        <v>50</v>
      </c>
      <c r="F169" t="s">
        <v>24</v>
      </c>
      <c r="G169" t="s">
        <v>25</v>
      </c>
      <c r="H169" s="8">
        <v>6</v>
      </c>
      <c r="I169" s="8">
        <v>644.17999999999995</v>
      </c>
      <c r="J169" s="8">
        <v>0</v>
      </c>
      <c r="K169" s="14">
        <v>3865.08</v>
      </c>
      <c r="L169" t="s">
        <v>35</v>
      </c>
      <c r="M169" t="s">
        <v>26</v>
      </c>
      <c r="N169" s="14">
        <f>Table14[[#This Row],[Quantity]]*Table14[[#This Row],[UnitPrice]]*(1-Table14[[#This Row],[Discount]])</f>
        <v>3865.08</v>
      </c>
      <c r="O169" s="8">
        <f>YEAR(Table14[[#This Row],[OrderDate]])</f>
        <v>2025</v>
      </c>
      <c r="P169" s="8" t="str">
        <f>TEXT(Table14[[#This Row],[OrderDate]],"mmmm")</f>
        <v>November</v>
      </c>
      <c r="Q169" s="8" t="str">
        <f t="shared" si="6"/>
        <v>Q4</v>
      </c>
      <c r="R169" s="3">
        <f>Table14[[#This Row],[Revenue]]*25%</f>
        <v>966.27</v>
      </c>
      <c r="S169" s="3">
        <f t="shared" si="7"/>
        <v>695.71439999999996</v>
      </c>
      <c r="T169" s="14">
        <f t="shared" si="8"/>
        <v>3169.3656000000001</v>
      </c>
      <c r="U169" s="3" t="str">
        <f t="array" ref="U169">_xlfn.IFS(Table14[[#This Row],[Revenue]]&gt;10000,"High",AND(Table14[[#This Row],[Revenue]]&gt;=5000,Table14[[#This Row],[Revenue]]&lt;=10000),"Medium",Table14[[#This Row],[Revenue]]&lt;5000,"Low")</f>
        <v>Low</v>
      </c>
      <c r="V169" s="3"/>
    </row>
    <row r="170" spans="1:22" x14ac:dyDescent="0.35">
      <c r="A170" s="8">
        <v>1023</v>
      </c>
      <c r="B170" s="2">
        <v>45966</v>
      </c>
      <c r="C170" t="s">
        <v>27</v>
      </c>
      <c r="D170" t="s">
        <v>47</v>
      </c>
      <c r="E170" t="s">
        <v>110</v>
      </c>
      <c r="F170" t="s">
        <v>17</v>
      </c>
      <c r="G170" t="s">
        <v>46</v>
      </c>
      <c r="H170" s="8">
        <v>8</v>
      </c>
      <c r="I170" s="8">
        <v>1142.6600000000001</v>
      </c>
      <c r="J170" s="8">
        <v>0</v>
      </c>
      <c r="K170" s="14">
        <v>9141.2800000000007</v>
      </c>
      <c r="L170" t="s">
        <v>35</v>
      </c>
      <c r="M170" t="s">
        <v>36</v>
      </c>
      <c r="N170" s="14">
        <f>Table14[[#This Row],[Quantity]]*Table14[[#This Row],[UnitPrice]]*(1-Table14[[#This Row],[Discount]])</f>
        <v>9141.2800000000007</v>
      </c>
      <c r="O170" s="8">
        <f>YEAR(Table14[[#This Row],[OrderDate]])</f>
        <v>2025</v>
      </c>
      <c r="P170" s="8" t="str">
        <f>TEXT(Table14[[#This Row],[OrderDate]],"mmmm")</f>
        <v>November</v>
      </c>
      <c r="Q170" s="8" t="str">
        <f t="shared" si="6"/>
        <v>Q4</v>
      </c>
      <c r="R170" s="3">
        <f>Table14[[#This Row],[Revenue]]*25%</f>
        <v>2285.3200000000002</v>
      </c>
      <c r="S170" s="3">
        <f t="shared" si="7"/>
        <v>1645.4304</v>
      </c>
      <c r="T170" s="14">
        <f t="shared" si="8"/>
        <v>7495.8496000000005</v>
      </c>
      <c r="U170" s="3" t="str">
        <f t="array" ref="U170">_xlfn.IFS(Table14[[#This Row],[Revenue]]&gt;10000,"High",AND(Table14[[#This Row],[Revenue]]&gt;=5000,Table14[[#This Row],[Revenue]]&lt;=10000),"Medium",Table14[[#This Row],[Revenue]]&lt;5000,"Low")</f>
        <v>Medium</v>
      </c>
      <c r="V170" s="3"/>
    </row>
    <row r="171" spans="1:22" x14ac:dyDescent="0.35">
      <c r="A171" s="8">
        <v>1076</v>
      </c>
      <c r="B171" s="2">
        <v>45968</v>
      </c>
      <c r="C171" t="s">
        <v>43</v>
      </c>
      <c r="D171" t="s">
        <v>47</v>
      </c>
      <c r="E171" t="s">
        <v>104</v>
      </c>
      <c r="F171" t="s">
        <v>24</v>
      </c>
      <c r="G171" t="s">
        <v>25</v>
      </c>
      <c r="H171" s="8">
        <v>4</v>
      </c>
      <c r="I171" s="8">
        <v>860.32</v>
      </c>
      <c r="J171" s="8">
        <v>0.05</v>
      </c>
      <c r="K171" s="14">
        <v>3269.22</v>
      </c>
      <c r="L171" t="s">
        <v>35</v>
      </c>
      <c r="M171" t="s">
        <v>36</v>
      </c>
      <c r="N171" s="14">
        <f>Table14[[#This Row],[Quantity]]*Table14[[#This Row],[UnitPrice]]*(1-Table14[[#This Row],[Discount]])</f>
        <v>3269.2159999999999</v>
      </c>
      <c r="O171" s="8">
        <f>YEAR(Table14[[#This Row],[OrderDate]])</f>
        <v>2025</v>
      </c>
      <c r="P171" s="8" t="str">
        <f>TEXT(Table14[[#This Row],[OrderDate]],"mmmm")</f>
        <v>November</v>
      </c>
      <c r="Q171" s="8" t="str">
        <f t="shared" si="6"/>
        <v>Q4</v>
      </c>
      <c r="R171" s="3">
        <f>Table14[[#This Row],[Revenue]]*25%</f>
        <v>817.30499999999995</v>
      </c>
      <c r="S171" s="3">
        <f t="shared" si="7"/>
        <v>588.45959999999991</v>
      </c>
      <c r="T171" s="14">
        <f t="shared" si="8"/>
        <v>2680.7604000000001</v>
      </c>
      <c r="U171" s="3" t="str">
        <f t="array" ref="U171">_xlfn.IFS(Table14[[#This Row],[Revenue]]&gt;10000,"High",AND(Table14[[#This Row],[Revenue]]&gt;=5000,Table14[[#This Row],[Revenue]]&lt;=10000),"Medium",Table14[[#This Row],[Revenue]]&lt;5000,"Low")</f>
        <v>Low</v>
      </c>
      <c r="V171" s="3"/>
    </row>
    <row r="172" spans="1:22" x14ac:dyDescent="0.35">
      <c r="A172" s="8">
        <v>1280</v>
      </c>
      <c r="B172" s="2">
        <v>45973</v>
      </c>
      <c r="C172" t="s">
        <v>21</v>
      </c>
      <c r="D172" t="s">
        <v>54</v>
      </c>
      <c r="E172" t="s">
        <v>79</v>
      </c>
      <c r="F172" t="s">
        <v>24</v>
      </c>
      <c r="G172" t="s">
        <v>63</v>
      </c>
      <c r="H172" s="8">
        <v>6</v>
      </c>
      <c r="I172" s="8">
        <v>177.72</v>
      </c>
      <c r="J172" s="8">
        <v>0.05</v>
      </c>
      <c r="K172" s="14">
        <v>1013</v>
      </c>
      <c r="L172" t="s">
        <v>39</v>
      </c>
      <c r="M172" t="s">
        <v>36</v>
      </c>
      <c r="N172" s="14">
        <f>Table14[[#This Row],[Quantity]]*Table14[[#This Row],[UnitPrice]]*(1-Table14[[#This Row],[Discount]])</f>
        <v>1013.0039999999999</v>
      </c>
      <c r="O172" s="8">
        <f>YEAR(Table14[[#This Row],[OrderDate]])</f>
        <v>2025</v>
      </c>
      <c r="P172" s="8" t="str">
        <f>TEXT(Table14[[#This Row],[OrderDate]],"mmmm")</f>
        <v>November</v>
      </c>
      <c r="Q172" s="8" t="str">
        <f t="shared" si="6"/>
        <v>Q4</v>
      </c>
      <c r="R172" s="3">
        <f>Table14[[#This Row],[Revenue]]*25%</f>
        <v>253.25</v>
      </c>
      <c r="S172" s="3">
        <f t="shared" si="7"/>
        <v>182.34</v>
      </c>
      <c r="T172" s="14">
        <f t="shared" si="8"/>
        <v>830.66</v>
      </c>
      <c r="U172" s="3" t="str">
        <f t="array" ref="U172">_xlfn.IFS(Table14[[#This Row],[Revenue]]&gt;10000,"High",AND(Table14[[#This Row],[Revenue]]&gt;=5000,Table14[[#This Row],[Revenue]]&lt;=10000),"Medium",Table14[[#This Row],[Revenue]]&lt;5000,"Low")</f>
        <v>Low</v>
      </c>
      <c r="V172" s="3"/>
    </row>
    <row r="173" spans="1:22" x14ac:dyDescent="0.35">
      <c r="A173" s="8">
        <v>1089</v>
      </c>
      <c r="B173" s="2">
        <v>45975</v>
      </c>
      <c r="C173" t="s">
        <v>43</v>
      </c>
      <c r="D173" t="s">
        <v>22</v>
      </c>
      <c r="E173" t="s">
        <v>89</v>
      </c>
      <c r="F173" t="s">
        <v>17</v>
      </c>
      <c r="G173" t="s">
        <v>30</v>
      </c>
      <c r="H173" s="8">
        <v>7</v>
      </c>
      <c r="I173" s="8">
        <v>1167.5899999999999</v>
      </c>
      <c r="J173" s="8">
        <v>0</v>
      </c>
      <c r="K173" s="14">
        <v>8173.13</v>
      </c>
      <c r="L173" t="s">
        <v>19</v>
      </c>
      <c r="M173" t="s">
        <v>36</v>
      </c>
      <c r="N173" s="14">
        <f>Table14[[#This Row],[Quantity]]*Table14[[#This Row],[UnitPrice]]*(1-Table14[[#This Row],[Discount]])</f>
        <v>8173.1299999999992</v>
      </c>
      <c r="O173" s="8">
        <f>YEAR(Table14[[#This Row],[OrderDate]])</f>
        <v>2025</v>
      </c>
      <c r="P173" s="8" t="str">
        <f>TEXT(Table14[[#This Row],[OrderDate]],"mmmm")</f>
        <v>November</v>
      </c>
      <c r="Q173" s="8" t="str">
        <f t="shared" si="6"/>
        <v>Q4</v>
      </c>
      <c r="R173" s="3">
        <f>Table14[[#This Row],[Revenue]]*25%</f>
        <v>2043.2825</v>
      </c>
      <c r="S173" s="3">
        <f t="shared" si="7"/>
        <v>1471.1633999999999</v>
      </c>
      <c r="T173" s="14">
        <f t="shared" si="8"/>
        <v>6701.9665999999997</v>
      </c>
      <c r="U173" s="3" t="str">
        <f t="array" ref="U173">_xlfn.IFS(Table14[[#This Row],[Revenue]]&gt;10000,"High",AND(Table14[[#This Row],[Revenue]]&gt;=5000,Table14[[#This Row],[Revenue]]&lt;=10000),"Medium",Table14[[#This Row],[Revenue]]&lt;5000,"Low")</f>
        <v>Medium</v>
      </c>
      <c r="V173" s="3"/>
    </row>
    <row r="174" spans="1:22" x14ac:dyDescent="0.35">
      <c r="A174" s="8">
        <v>1178</v>
      </c>
      <c r="B174" s="2">
        <v>45977</v>
      </c>
      <c r="C174" t="s">
        <v>27</v>
      </c>
      <c r="D174" t="s">
        <v>28</v>
      </c>
      <c r="E174" t="s">
        <v>51</v>
      </c>
      <c r="F174" t="s">
        <v>24</v>
      </c>
      <c r="G174" t="s">
        <v>38</v>
      </c>
      <c r="H174" s="8">
        <v>1</v>
      </c>
      <c r="I174" s="8">
        <v>778.23</v>
      </c>
      <c r="J174" s="8">
        <v>0.1</v>
      </c>
      <c r="K174" s="14">
        <v>700.41</v>
      </c>
      <c r="L174" t="s">
        <v>39</v>
      </c>
      <c r="M174" t="s">
        <v>20</v>
      </c>
      <c r="N174" s="14">
        <f>Table14[[#This Row],[Quantity]]*Table14[[#This Row],[UnitPrice]]*(1-Table14[[#This Row],[Discount]])</f>
        <v>700.40700000000004</v>
      </c>
      <c r="O174" s="8">
        <f>YEAR(Table14[[#This Row],[OrderDate]])</f>
        <v>2025</v>
      </c>
      <c r="P174" s="8" t="str">
        <f>TEXT(Table14[[#This Row],[OrderDate]],"mmmm")</f>
        <v>November</v>
      </c>
      <c r="Q174" s="8" t="str">
        <f t="shared" si="6"/>
        <v>Q4</v>
      </c>
      <c r="R174" s="3">
        <f>Table14[[#This Row],[Revenue]]*25%</f>
        <v>175.10249999999999</v>
      </c>
      <c r="S174" s="3">
        <f t="shared" si="7"/>
        <v>126.07379999999999</v>
      </c>
      <c r="T174" s="14">
        <f t="shared" si="8"/>
        <v>574.33619999999996</v>
      </c>
      <c r="U174" s="3" t="str">
        <f t="array" ref="U174">_xlfn.IFS(Table14[[#This Row],[Revenue]]&gt;10000,"High",AND(Table14[[#This Row],[Revenue]]&gt;=5000,Table14[[#This Row],[Revenue]]&lt;=10000),"Medium",Table14[[#This Row],[Revenue]]&lt;5000,"Low")</f>
        <v>Low</v>
      </c>
      <c r="V174" s="3"/>
    </row>
    <row r="175" spans="1:22" x14ac:dyDescent="0.35">
      <c r="A175" s="8">
        <v>1200</v>
      </c>
      <c r="B175" s="2">
        <v>45978</v>
      </c>
      <c r="C175" t="s">
        <v>43</v>
      </c>
      <c r="D175" t="s">
        <v>22</v>
      </c>
      <c r="E175" t="s">
        <v>85</v>
      </c>
      <c r="F175" t="s">
        <v>17</v>
      </c>
      <c r="G175" t="s">
        <v>18</v>
      </c>
      <c r="H175" s="8">
        <v>14</v>
      </c>
      <c r="I175" s="8">
        <v>173.55</v>
      </c>
      <c r="J175" s="8">
        <v>0.1</v>
      </c>
      <c r="K175" s="14">
        <v>2186.73</v>
      </c>
      <c r="L175" t="s">
        <v>39</v>
      </c>
      <c r="M175" t="s">
        <v>36</v>
      </c>
      <c r="N175" s="14">
        <f>Table14[[#This Row],[Quantity]]*Table14[[#This Row],[UnitPrice]]*(1-Table14[[#This Row],[Discount]])</f>
        <v>2186.7300000000005</v>
      </c>
      <c r="O175" s="8">
        <f>YEAR(Table14[[#This Row],[OrderDate]])</f>
        <v>2025</v>
      </c>
      <c r="P175" s="8" t="str">
        <f>TEXT(Table14[[#This Row],[OrderDate]],"mmmm")</f>
        <v>November</v>
      </c>
      <c r="Q175" s="8" t="str">
        <f t="shared" si="6"/>
        <v>Q4</v>
      </c>
      <c r="R175" s="3">
        <f>Table14[[#This Row],[Revenue]]*25%</f>
        <v>546.6825</v>
      </c>
      <c r="S175" s="3">
        <f t="shared" si="7"/>
        <v>393.6114</v>
      </c>
      <c r="T175" s="14">
        <f t="shared" si="8"/>
        <v>1793.1186</v>
      </c>
      <c r="U175" s="3" t="str">
        <f t="array" ref="U175">_xlfn.IFS(Table14[[#This Row],[Revenue]]&gt;10000,"High",AND(Table14[[#This Row],[Revenue]]&gt;=5000,Table14[[#This Row],[Revenue]]&lt;=10000),"Medium",Table14[[#This Row],[Revenue]]&lt;5000,"Low")</f>
        <v>Low</v>
      </c>
      <c r="V175" s="3"/>
    </row>
    <row r="176" spans="1:22" x14ac:dyDescent="0.35">
      <c r="A176" s="8">
        <v>1058</v>
      </c>
      <c r="B176" s="2">
        <v>45980</v>
      </c>
      <c r="C176" t="s">
        <v>27</v>
      </c>
      <c r="D176" t="s">
        <v>31</v>
      </c>
      <c r="E176" t="s">
        <v>68</v>
      </c>
      <c r="F176" t="s">
        <v>17</v>
      </c>
      <c r="G176" t="s">
        <v>30</v>
      </c>
      <c r="H176" s="8">
        <v>13</v>
      </c>
      <c r="I176" s="8">
        <v>165.44</v>
      </c>
      <c r="J176" s="8">
        <v>0.05</v>
      </c>
      <c r="K176" s="14">
        <v>2043.18</v>
      </c>
      <c r="L176" t="s">
        <v>35</v>
      </c>
      <c r="M176" t="s">
        <v>36</v>
      </c>
      <c r="N176" s="14">
        <f>Table14[[#This Row],[Quantity]]*Table14[[#This Row],[UnitPrice]]*(1-Table14[[#This Row],[Discount]])</f>
        <v>2043.1839999999997</v>
      </c>
      <c r="O176" s="8">
        <f>YEAR(Table14[[#This Row],[OrderDate]])</f>
        <v>2025</v>
      </c>
      <c r="P176" s="8" t="str">
        <f>TEXT(Table14[[#This Row],[OrderDate]],"mmmm")</f>
        <v>November</v>
      </c>
      <c r="Q176" s="8" t="str">
        <f t="shared" si="6"/>
        <v>Q4</v>
      </c>
      <c r="R176" s="3">
        <f>Table14[[#This Row],[Revenue]]*25%</f>
        <v>510.79500000000002</v>
      </c>
      <c r="S176" s="3">
        <f t="shared" si="7"/>
        <v>367.7724</v>
      </c>
      <c r="T176" s="14">
        <f t="shared" si="8"/>
        <v>1675.4076</v>
      </c>
      <c r="U176" s="3" t="str">
        <f t="array" ref="U176">_xlfn.IFS(Table14[[#This Row],[Revenue]]&gt;10000,"High",AND(Table14[[#This Row],[Revenue]]&gt;=5000,Table14[[#This Row],[Revenue]]&lt;=10000),"Medium",Table14[[#This Row],[Revenue]]&lt;5000,"Low")</f>
        <v>Low</v>
      </c>
      <c r="V176" s="3"/>
    </row>
    <row r="177" spans="1:22" x14ac:dyDescent="0.35">
      <c r="A177" s="8">
        <v>1032</v>
      </c>
      <c r="B177" s="2">
        <v>45986</v>
      </c>
      <c r="C177" t="s">
        <v>14</v>
      </c>
      <c r="D177" t="s">
        <v>47</v>
      </c>
      <c r="E177" t="s">
        <v>32</v>
      </c>
      <c r="F177" t="s">
        <v>24</v>
      </c>
      <c r="G177" t="s">
        <v>25</v>
      </c>
      <c r="H177" s="8">
        <v>3</v>
      </c>
      <c r="I177" s="8">
        <v>493.51</v>
      </c>
      <c r="J177" s="8">
        <v>0</v>
      </c>
      <c r="K177" s="14">
        <v>1480.53</v>
      </c>
      <c r="L177" t="s">
        <v>35</v>
      </c>
      <c r="M177" t="s">
        <v>36</v>
      </c>
      <c r="N177" s="14">
        <f>Table14[[#This Row],[Quantity]]*Table14[[#This Row],[UnitPrice]]*(1-Table14[[#This Row],[Discount]])</f>
        <v>1480.53</v>
      </c>
      <c r="O177" s="8">
        <f>YEAR(Table14[[#This Row],[OrderDate]])</f>
        <v>2025</v>
      </c>
      <c r="P177" s="8" t="str">
        <f>TEXT(Table14[[#This Row],[OrderDate]],"mmmm")</f>
        <v>November</v>
      </c>
      <c r="Q177" s="8" t="str">
        <f t="shared" si="6"/>
        <v>Q4</v>
      </c>
      <c r="R177" s="3">
        <f>Table14[[#This Row],[Revenue]]*25%</f>
        <v>370.13249999999999</v>
      </c>
      <c r="S177" s="3">
        <f t="shared" si="7"/>
        <v>266.49539999999996</v>
      </c>
      <c r="T177" s="14">
        <f t="shared" si="8"/>
        <v>1214.0346</v>
      </c>
      <c r="U177" s="3" t="str">
        <f t="array" ref="U177">_xlfn.IFS(Table14[[#This Row],[Revenue]]&gt;10000,"High",AND(Table14[[#This Row],[Revenue]]&gt;=5000,Table14[[#This Row],[Revenue]]&lt;=10000),"Medium",Table14[[#This Row],[Revenue]]&lt;5000,"Low")</f>
        <v>Low</v>
      </c>
      <c r="V177" s="3"/>
    </row>
    <row r="178" spans="1:22" x14ac:dyDescent="0.35">
      <c r="A178" s="8">
        <v>1233</v>
      </c>
      <c r="B178" s="2">
        <v>45987</v>
      </c>
      <c r="C178" t="s">
        <v>43</v>
      </c>
      <c r="D178" t="s">
        <v>54</v>
      </c>
      <c r="E178" t="s">
        <v>100</v>
      </c>
      <c r="F178" t="s">
        <v>33</v>
      </c>
      <c r="G178" t="s">
        <v>61</v>
      </c>
      <c r="H178" s="8">
        <v>3</v>
      </c>
      <c r="I178" s="8">
        <v>720.43</v>
      </c>
      <c r="J178" s="8">
        <v>0.05</v>
      </c>
      <c r="K178" s="14">
        <v>2053.23</v>
      </c>
      <c r="L178" t="s">
        <v>35</v>
      </c>
      <c r="M178" t="s">
        <v>36</v>
      </c>
      <c r="N178" s="14">
        <f>Table14[[#This Row],[Quantity]]*Table14[[#This Row],[UnitPrice]]*(1-Table14[[#This Row],[Discount]])</f>
        <v>2053.2255</v>
      </c>
      <c r="O178" s="8">
        <f>YEAR(Table14[[#This Row],[OrderDate]])</f>
        <v>2025</v>
      </c>
      <c r="P178" s="8" t="str">
        <f>TEXT(Table14[[#This Row],[OrderDate]],"mmmm")</f>
        <v>November</v>
      </c>
      <c r="Q178" s="8" t="str">
        <f t="shared" si="6"/>
        <v>Q4</v>
      </c>
      <c r="R178" s="3">
        <f>Table14[[#This Row],[Revenue]]*25%</f>
        <v>513.3075</v>
      </c>
      <c r="S178" s="3">
        <f t="shared" si="7"/>
        <v>369.58139999999997</v>
      </c>
      <c r="T178" s="14">
        <f t="shared" si="8"/>
        <v>1683.6486</v>
      </c>
      <c r="U178" s="3" t="str">
        <f t="array" ref="U178">_xlfn.IFS(Table14[[#This Row],[Revenue]]&gt;10000,"High",AND(Table14[[#This Row],[Revenue]]&gt;=5000,Table14[[#This Row],[Revenue]]&lt;=10000),"Medium",Table14[[#This Row],[Revenue]]&lt;5000,"Low")</f>
        <v>Low</v>
      </c>
      <c r="V178" s="3"/>
    </row>
    <row r="179" spans="1:22" x14ac:dyDescent="0.35">
      <c r="A179" s="8">
        <v>1281</v>
      </c>
      <c r="B179" s="2">
        <v>45990</v>
      </c>
      <c r="C179" t="s">
        <v>27</v>
      </c>
      <c r="D179" t="s">
        <v>31</v>
      </c>
      <c r="E179" t="s">
        <v>37</v>
      </c>
      <c r="F179" t="s">
        <v>17</v>
      </c>
      <c r="G179" t="s">
        <v>46</v>
      </c>
      <c r="H179" s="8">
        <v>7</v>
      </c>
      <c r="I179" s="8">
        <v>178.11</v>
      </c>
      <c r="J179" s="8">
        <v>0.1</v>
      </c>
      <c r="K179" s="14">
        <v>1122.0899999999999</v>
      </c>
      <c r="L179" t="s">
        <v>39</v>
      </c>
      <c r="M179" t="s">
        <v>26</v>
      </c>
      <c r="N179" s="14">
        <f>Table14[[#This Row],[Quantity]]*Table14[[#This Row],[UnitPrice]]*(1-Table14[[#This Row],[Discount]])</f>
        <v>1122.0930000000001</v>
      </c>
      <c r="O179" s="8">
        <f>YEAR(Table14[[#This Row],[OrderDate]])</f>
        <v>2025</v>
      </c>
      <c r="P179" s="8" t="str">
        <f>TEXT(Table14[[#This Row],[OrderDate]],"mmmm")</f>
        <v>November</v>
      </c>
      <c r="Q179" s="8" t="str">
        <f t="shared" si="6"/>
        <v>Q4</v>
      </c>
      <c r="R179" s="3">
        <f>Table14[[#This Row],[Revenue]]*25%</f>
        <v>280.52249999999998</v>
      </c>
      <c r="S179" s="3">
        <f t="shared" si="7"/>
        <v>201.97619999999998</v>
      </c>
      <c r="T179" s="14">
        <f t="shared" si="8"/>
        <v>920.11379999999997</v>
      </c>
      <c r="U179" s="3" t="str">
        <f t="array" ref="U179">_xlfn.IFS(Table14[[#This Row],[Revenue]]&gt;10000,"High",AND(Table14[[#This Row],[Revenue]]&gt;=5000,Table14[[#This Row],[Revenue]]&lt;=10000),"Medium",Table14[[#This Row],[Revenue]]&lt;5000,"Low")</f>
        <v>Low</v>
      </c>
      <c r="V179" s="3"/>
    </row>
    <row r="180" spans="1:22" x14ac:dyDescent="0.35">
      <c r="A180" s="8">
        <v>1228</v>
      </c>
      <c r="B180" s="2">
        <v>45991</v>
      </c>
      <c r="C180" t="s">
        <v>21</v>
      </c>
      <c r="D180" t="s">
        <v>47</v>
      </c>
      <c r="E180" t="s">
        <v>71</v>
      </c>
      <c r="F180" t="s">
        <v>17</v>
      </c>
      <c r="G180" t="s">
        <v>46</v>
      </c>
      <c r="H180" s="8">
        <v>12</v>
      </c>
      <c r="I180" s="8">
        <v>452.76</v>
      </c>
      <c r="J180" s="8">
        <v>0.15</v>
      </c>
      <c r="K180" s="14">
        <v>4618.1499999999996</v>
      </c>
      <c r="L180" t="s">
        <v>39</v>
      </c>
      <c r="M180" t="s">
        <v>20</v>
      </c>
      <c r="N180" s="14">
        <f>Table14[[#This Row],[Quantity]]*Table14[[#This Row],[UnitPrice]]*(1-Table14[[#This Row],[Discount]])</f>
        <v>4618.152</v>
      </c>
      <c r="O180" s="8">
        <f>YEAR(Table14[[#This Row],[OrderDate]])</f>
        <v>2025</v>
      </c>
      <c r="P180" s="8" t="str">
        <f>TEXT(Table14[[#This Row],[OrderDate]],"mmmm")</f>
        <v>November</v>
      </c>
      <c r="Q180" s="8" t="str">
        <f t="shared" si="6"/>
        <v>Q4</v>
      </c>
      <c r="R180" s="3">
        <f>Table14[[#This Row],[Revenue]]*25%</f>
        <v>1154.5374999999999</v>
      </c>
      <c r="S180" s="3">
        <f t="shared" si="7"/>
        <v>831.26699999999994</v>
      </c>
      <c r="T180" s="14">
        <f t="shared" si="8"/>
        <v>3786.8829999999998</v>
      </c>
      <c r="U180" s="3" t="str">
        <f t="array" ref="U180">_xlfn.IFS(Table14[[#This Row],[Revenue]]&gt;10000,"High",AND(Table14[[#This Row],[Revenue]]&gt;=5000,Table14[[#This Row],[Revenue]]&lt;=10000),"Medium",Table14[[#This Row],[Revenue]]&lt;5000,"Low")</f>
        <v>Low</v>
      </c>
      <c r="V180" s="3"/>
    </row>
    <row r="181" spans="1:22" x14ac:dyDescent="0.35">
      <c r="A181" s="8">
        <v>1225</v>
      </c>
      <c r="B181" s="2">
        <v>45992</v>
      </c>
      <c r="C181" t="s">
        <v>43</v>
      </c>
      <c r="D181" t="s">
        <v>28</v>
      </c>
      <c r="E181" t="s">
        <v>115</v>
      </c>
      <c r="F181" t="s">
        <v>33</v>
      </c>
      <c r="G181" t="s">
        <v>61</v>
      </c>
      <c r="H181" s="8">
        <v>15</v>
      </c>
      <c r="I181" s="8">
        <v>173.11</v>
      </c>
      <c r="J181" s="8">
        <v>0.05</v>
      </c>
      <c r="K181" s="14">
        <v>2466.8200000000002</v>
      </c>
      <c r="L181" t="s">
        <v>19</v>
      </c>
      <c r="M181" t="s">
        <v>26</v>
      </c>
      <c r="N181" s="14">
        <f>Table14[[#This Row],[Quantity]]*Table14[[#This Row],[UnitPrice]]*(1-Table14[[#This Row],[Discount]])</f>
        <v>2466.8175000000001</v>
      </c>
      <c r="O181" s="8">
        <f>YEAR(Table14[[#This Row],[OrderDate]])</f>
        <v>2025</v>
      </c>
      <c r="P181" s="8" t="str">
        <f>TEXT(Table14[[#This Row],[OrderDate]],"mmmm")</f>
        <v>December</v>
      </c>
      <c r="Q181" s="8" t="str">
        <f t="shared" si="6"/>
        <v>Q4</v>
      </c>
      <c r="R181" s="3">
        <f>Table14[[#This Row],[Revenue]]*25%</f>
        <v>616.70500000000004</v>
      </c>
      <c r="S181" s="3">
        <f t="shared" si="7"/>
        <v>444.02760000000001</v>
      </c>
      <c r="T181" s="14">
        <f t="shared" si="8"/>
        <v>2022.7924000000003</v>
      </c>
      <c r="U181" s="3" t="str">
        <f t="array" ref="U181">_xlfn.IFS(Table14[[#This Row],[Revenue]]&gt;10000,"High",AND(Table14[[#This Row],[Revenue]]&gt;=5000,Table14[[#This Row],[Revenue]]&lt;=10000),"Medium",Table14[[#This Row],[Revenue]]&lt;5000,"Low")</f>
        <v>Low</v>
      </c>
      <c r="V181" s="3"/>
    </row>
    <row r="182" spans="1:22" x14ac:dyDescent="0.35">
      <c r="A182" s="8">
        <v>1209</v>
      </c>
      <c r="B182" s="2">
        <v>45994</v>
      </c>
      <c r="C182" t="s">
        <v>43</v>
      </c>
      <c r="D182" t="s">
        <v>31</v>
      </c>
      <c r="E182" t="s">
        <v>106</v>
      </c>
      <c r="F182" t="s">
        <v>17</v>
      </c>
      <c r="G182" t="s">
        <v>18</v>
      </c>
      <c r="H182" s="8">
        <v>15</v>
      </c>
      <c r="I182" s="8">
        <v>558.47</v>
      </c>
      <c r="J182" s="8">
        <v>0</v>
      </c>
      <c r="K182" s="14">
        <v>8377.0499999999993</v>
      </c>
      <c r="L182" t="s">
        <v>35</v>
      </c>
      <c r="M182" t="s">
        <v>26</v>
      </c>
      <c r="N182" s="14">
        <f>Table14[[#This Row],[Quantity]]*Table14[[#This Row],[UnitPrice]]*(1-Table14[[#This Row],[Discount]])</f>
        <v>8377.0500000000011</v>
      </c>
      <c r="O182" s="8">
        <f>YEAR(Table14[[#This Row],[OrderDate]])</f>
        <v>2025</v>
      </c>
      <c r="P182" s="8" t="str">
        <f>TEXT(Table14[[#This Row],[OrderDate]],"mmmm")</f>
        <v>December</v>
      </c>
      <c r="Q182" s="8" t="str">
        <f t="shared" si="6"/>
        <v>Q4</v>
      </c>
      <c r="R182" s="3">
        <f>Table14[[#This Row],[Revenue]]*25%</f>
        <v>2094.2624999999998</v>
      </c>
      <c r="S182" s="3">
        <f t="shared" si="7"/>
        <v>1507.8689999999999</v>
      </c>
      <c r="T182" s="14">
        <f t="shared" si="8"/>
        <v>6869.1809999999996</v>
      </c>
      <c r="U182" s="3" t="str">
        <f t="array" ref="U182">_xlfn.IFS(Table14[[#This Row],[Revenue]]&gt;10000,"High",AND(Table14[[#This Row],[Revenue]]&gt;=5000,Table14[[#This Row],[Revenue]]&lt;=10000),"Medium",Table14[[#This Row],[Revenue]]&lt;5000,"Low")</f>
        <v>Medium</v>
      </c>
      <c r="V182" s="3"/>
    </row>
    <row r="183" spans="1:22" x14ac:dyDescent="0.35">
      <c r="A183" s="8">
        <v>1253</v>
      </c>
      <c r="B183" s="2">
        <v>45996</v>
      </c>
      <c r="C183" t="s">
        <v>14</v>
      </c>
      <c r="D183" t="s">
        <v>54</v>
      </c>
      <c r="E183" t="s">
        <v>75</v>
      </c>
      <c r="F183" t="s">
        <v>33</v>
      </c>
      <c r="G183" t="s">
        <v>53</v>
      </c>
      <c r="H183" s="8">
        <v>11</v>
      </c>
      <c r="I183" s="8">
        <v>405.67</v>
      </c>
      <c r="J183" s="8">
        <v>0</v>
      </c>
      <c r="K183" s="14">
        <v>4462.37</v>
      </c>
      <c r="L183" t="s">
        <v>35</v>
      </c>
      <c r="M183" t="s">
        <v>26</v>
      </c>
      <c r="N183" s="14">
        <f>Table14[[#This Row],[Quantity]]*Table14[[#This Row],[UnitPrice]]*(1-Table14[[#This Row],[Discount]])</f>
        <v>4462.37</v>
      </c>
      <c r="O183" s="8">
        <f>YEAR(Table14[[#This Row],[OrderDate]])</f>
        <v>2025</v>
      </c>
      <c r="P183" s="8" t="str">
        <f>TEXT(Table14[[#This Row],[OrderDate]],"mmmm")</f>
        <v>December</v>
      </c>
      <c r="Q183" s="8" t="str">
        <f t="shared" si="6"/>
        <v>Q4</v>
      </c>
      <c r="R183" s="3">
        <f>Table14[[#This Row],[Revenue]]*25%</f>
        <v>1115.5925</v>
      </c>
      <c r="S183" s="3">
        <f t="shared" si="7"/>
        <v>803.22659999999996</v>
      </c>
      <c r="T183" s="14">
        <f t="shared" si="8"/>
        <v>3659.1433999999999</v>
      </c>
      <c r="U183" s="3" t="str">
        <f t="array" ref="U183">_xlfn.IFS(Table14[[#This Row],[Revenue]]&gt;10000,"High",AND(Table14[[#This Row],[Revenue]]&gt;=5000,Table14[[#This Row],[Revenue]]&lt;=10000),"Medium",Table14[[#This Row],[Revenue]]&lt;5000,"Low")</f>
        <v>Low</v>
      </c>
      <c r="V183" s="3"/>
    </row>
    <row r="184" spans="1:22" x14ac:dyDescent="0.35">
      <c r="A184" s="8">
        <v>1056</v>
      </c>
      <c r="B184" s="2">
        <v>45998</v>
      </c>
      <c r="C184" t="s">
        <v>14</v>
      </c>
      <c r="D184" t="s">
        <v>28</v>
      </c>
      <c r="E184" t="s">
        <v>73</v>
      </c>
      <c r="F184" t="s">
        <v>17</v>
      </c>
      <c r="G184" t="s">
        <v>46</v>
      </c>
      <c r="H184" s="8">
        <v>8</v>
      </c>
      <c r="I184" s="8">
        <v>639.70000000000005</v>
      </c>
      <c r="J184" s="8">
        <v>0</v>
      </c>
      <c r="K184" s="14">
        <v>5117.6000000000004</v>
      </c>
      <c r="L184" t="s">
        <v>35</v>
      </c>
      <c r="M184" t="s">
        <v>20</v>
      </c>
      <c r="N184" s="14">
        <f>Table14[[#This Row],[Quantity]]*Table14[[#This Row],[UnitPrice]]*(1-Table14[[#This Row],[Discount]])</f>
        <v>5117.6000000000004</v>
      </c>
      <c r="O184" s="8">
        <f>YEAR(Table14[[#This Row],[OrderDate]])</f>
        <v>2025</v>
      </c>
      <c r="P184" s="8" t="str">
        <f>TEXT(Table14[[#This Row],[OrderDate]],"mmmm")</f>
        <v>December</v>
      </c>
      <c r="Q184" s="8" t="str">
        <f t="shared" si="6"/>
        <v>Q4</v>
      </c>
      <c r="R184" s="3">
        <f>Table14[[#This Row],[Revenue]]*25%</f>
        <v>1279.4000000000001</v>
      </c>
      <c r="S184" s="3">
        <f t="shared" si="7"/>
        <v>921.16800000000001</v>
      </c>
      <c r="T184" s="14">
        <f t="shared" si="8"/>
        <v>4196.4320000000007</v>
      </c>
      <c r="U184" s="3" t="str">
        <f t="array" ref="U184">_xlfn.IFS(Table14[[#This Row],[Revenue]]&gt;10000,"High",AND(Table14[[#This Row],[Revenue]]&gt;=5000,Table14[[#This Row],[Revenue]]&lt;=10000),"Medium",Table14[[#This Row],[Revenue]]&lt;5000,"Low")</f>
        <v>Medium</v>
      </c>
      <c r="V184" s="3"/>
    </row>
    <row r="185" spans="1:22" x14ac:dyDescent="0.35">
      <c r="A185" s="8">
        <v>1122</v>
      </c>
      <c r="B185" s="2">
        <v>46000</v>
      </c>
      <c r="C185" t="s">
        <v>14</v>
      </c>
      <c r="D185" t="s">
        <v>31</v>
      </c>
      <c r="E185" t="s">
        <v>32</v>
      </c>
      <c r="F185" t="s">
        <v>24</v>
      </c>
      <c r="G185" t="s">
        <v>63</v>
      </c>
      <c r="H185" s="8">
        <v>7</v>
      </c>
      <c r="I185" s="8">
        <v>161.07</v>
      </c>
      <c r="J185" s="8">
        <v>0</v>
      </c>
      <c r="K185" s="14">
        <v>1127.49</v>
      </c>
      <c r="L185" t="s">
        <v>39</v>
      </c>
      <c r="M185" t="s">
        <v>36</v>
      </c>
      <c r="N185" s="14">
        <f>Table14[[#This Row],[Quantity]]*Table14[[#This Row],[UnitPrice]]*(1-Table14[[#This Row],[Discount]])</f>
        <v>1127.49</v>
      </c>
      <c r="O185" s="8">
        <f>YEAR(Table14[[#This Row],[OrderDate]])</f>
        <v>2025</v>
      </c>
      <c r="P185" s="8" t="str">
        <f>TEXT(Table14[[#This Row],[OrderDate]],"mmmm")</f>
        <v>December</v>
      </c>
      <c r="Q185" s="8" t="str">
        <f t="shared" si="6"/>
        <v>Q4</v>
      </c>
      <c r="R185" s="3">
        <f>Table14[[#This Row],[Revenue]]*25%</f>
        <v>281.8725</v>
      </c>
      <c r="S185" s="3">
        <f t="shared" si="7"/>
        <v>202.94819999999999</v>
      </c>
      <c r="T185" s="14">
        <f t="shared" si="8"/>
        <v>924.54179999999997</v>
      </c>
      <c r="U185" s="3" t="str">
        <f t="array" ref="U185">_xlfn.IFS(Table14[[#This Row],[Revenue]]&gt;10000,"High",AND(Table14[[#This Row],[Revenue]]&gt;=5000,Table14[[#This Row],[Revenue]]&lt;=10000),"Medium",Table14[[#This Row],[Revenue]]&lt;5000,"Low")</f>
        <v>Low</v>
      </c>
      <c r="V185" s="3"/>
    </row>
    <row r="186" spans="1:22" x14ac:dyDescent="0.35">
      <c r="A186" s="8">
        <v>1173</v>
      </c>
      <c r="B186" s="2">
        <v>46000</v>
      </c>
      <c r="C186" t="s">
        <v>21</v>
      </c>
      <c r="D186" t="s">
        <v>54</v>
      </c>
      <c r="E186" t="s">
        <v>112</v>
      </c>
      <c r="F186" t="s">
        <v>33</v>
      </c>
      <c r="G186" t="s">
        <v>34</v>
      </c>
      <c r="H186" s="8">
        <v>7</v>
      </c>
      <c r="I186" s="8">
        <v>859.04</v>
      </c>
      <c r="J186" s="8">
        <v>0</v>
      </c>
      <c r="K186" s="14">
        <v>6013.28</v>
      </c>
      <c r="L186" t="s">
        <v>35</v>
      </c>
      <c r="M186" t="s">
        <v>36</v>
      </c>
      <c r="N186" s="14">
        <f>Table14[[#This Row],[Quantity]]*Table14[[#This Row],[UnitPrice]]*(1-Table14[[#This Row],[Discount]])</f>
        <v>6013.28</v>
      </c>
      <c r="O186" s="8">
        <f>YEAR(Table14[[#This Row],[OrderDate]])</f>
        <v>2025</v>
      </c>
      <c r="P186" s="8" t="str">
        <f>TEXT(Table14[[#This Row],[OrderDate]],"mmmm")</f>
        <v>December</v>
      </c>
      <c r="Q186" s="8" t="str">
        <f t="shared" si="6"/>
        <v>Q4</v>
      </c>
      <c r="R186" s="3">
        <f>Table14[[#This Row],[Revenue]]*25%</f>
        <v>1503.32</v>
      </c>
      <c r="S186" s="3">
        <f t="shared" si="7"/>
        <v>1082.3904</v>
      </c>
      <c r="T186" s="14">
        <f t="shared" si="8"/>
        <v>4930.8895999999995</v>
      </c>
      <c r="U186" s="3" t="str">
        <f t="array" ref="U186">_xlfn.IFS(Table14[[#This Row],[Revenue]]&gt;10000,"High",AND(Table14[[#This Row],[Revenue]]&gt;=5000,Table14[[#This Row],[Revenue]]&lt;=10000),"Medium",Table14[[#This Row],[Revenue]]&lt;5000,"Low")</f>
        <v>Medium</v>
      </c>
      <c r="V186" s="3"/>
    </row>
    <row r="187" spans="1:22" x14ac:dyDescent="0.35">
      <c r="A187" s="8">
        <v>1070</v>
      </c>
      <c r="B187" s="2">
        <v>46003</v>
      </c>
      <c r="C187" t="s">
        <v>27</v>
      </c>
      <c r="D187" t="s">
        <v>22</v>
      </c>
      <c r="E187" t="s">
        <v>116</v>
      </c>
      <c r="F187" t="s">
        <v>33</v>
      </c>
      <c r="G187" t="s">
        <v>34</v>
      </c>
      <c r="H187" s="8">
        <v>9</v>
      </c>
      <c r="I187" s="8">
        <v>543.92999999999995</v>
      </c>
      <c r="J187" s="8">
        <v>0.1</v>
      </c>
      <c r="K187" s="14">
        <v>4405.83</v>
      </c>
      <c r="L187" t="s">
        <v>19</v>
      </c>
      <c r="M187" t="s">
        <v>36</v>
      </c>
      <c r="N187" s="14">
        <f>Table14[[#This Row],[Quantity]]*Table14[[#This Row],[UnitPrice]]*(1-Table14[[#This Row],[Discount]])</f>
        <v>4405.8329999999996</v>
      </c>
      <c r="O187" s="8">
        <f>YEAR(Table14[[#This Row],[OrderDate]])</f>
        <v>2025</v>
      </c>
      <c r="P187" s="8" t="str">
        <f>TEXT(Table14[[#This Row],[OrderDate]],"mmmm")</f>
        <v>December</v>
      </c>
      <c r="Q187" s="8" t="str">
        <f t="shared" si="6"/>
        <v>Q4</v>
      </c>
      <c r="R187" s="3">
        <f>Table14[[#This Row],[Revenue]]*25%</f>
        <v>1101.4575</v>
      </c>
      <c r="S187" s="3">
        <f t="shared" si="7"/>
        <v>793.04939999999999</v>
      </c>
      <c r="T187" s="14">
        <f t="shared" si="8"/>
        <v>3612.7806</v>
      </c>
      <c r="U187" s="3" t="str">
        <f t="array" ref="U187">_xlfn.IFS(Table14[[#This Row],[Revenue]]&gt;10000,"High",AND(Table14[[#This Row],[Revenue]]&gt;=5000,Table14[[#This Row],[Revenue]]&lt;=10000),"Medium",Table14[[#This Row],[Revenue]]&lt;5000,"Low")</f>
        <v>Low</v>
      </c>
      <c r="V187" s="3"/>
    </row>
    <row r="188" spans="1:22" x14ac:dyDescent="0.35">
      <c r="A188" s="8">
        <v>1279</v>
      </c>
      <c r="B188" s="2">
        <v>46003</v>
      </c>
      <c r="C188" t="s">
        <v>21</v>
      </c>
      <c r="D188" t="s">
        <v>31</v>
      </c>
      <c r="E188" t="s">
        <v>92</v>
      </c>
      <c r="F188" t="s">
        <v>33</v>
      </c>
      <c r="G188" t="s">
        <v>61</v>
      </c>
      <c r="H188" s="8">
        <v>9</v>
      </c>
      <c r="I188" s="8">
        <v>1016.59</v>
      </c>
      <c r="J188" s="8">
        <v>0.15</v>
      </c>
      <c r="K188" s="14">
        <v>7776.91</v>
      </c>
      <c r="L188" t="s">
        <v>19</v>
      </c>
      <c r="M188" t="s">
        <v>20</v>
      </c>
      <c r="N188" s="14">
        <f>Table14[[#This Row],[Quantity]]*Table14[[#This Row],[UnitPrice]]*(1-Table14[[#This Row],[Discount]])</f>
        <v>7776.9134999999997</v>
      </c>
      <c r="O188" s="8">
        <f>YEAR(Table14[[#This Row],[OrderDate]])</f>
        <v>2025</v>
      </c>
      <c r="P188" s="8" t="str">
        <f>TEXT(Table14[[#This Row],[OrderDate]],"mmmm")</f>
        <v>December</v>
      </c>
      <c r="Q188" s="8" t="str">
        <f t="shared" si="6"/>
        <v>Q4</v>
      </c>
      <c r="R188" s="3">
        <f>Table14[[#This Row],[Revenue]]*25%</f>
        <v>1944.2275</v>
      </c>
      <c r="S188" s="3">
        <f t="shared" si="7"/>
        <v>1399.8437999999999</v>
      </c>
      <c r="T188" s="14">
        <f t="shared" si="8"/>
        <v>6377.0662000000002</v>
      </c>
      <c r="U188" s="3" t="str">
        <f t="array" ref="U188">_xlfn.IFS(Table14[[#This Row],[Revenue]]&gt;10000,"High",AND(Table14[[#This Row],[Revenue]]&gt;=5000,Table14[[#This Row],[Revenue]]&lt;=10000),"Medium",Table14[[#This Row],[Revenue]]&lt;5000,"Low")</f>
        <v>Medium</v>
      </c>
      <c r="V188" s="3"/>
    </row>
    <row r="189" spans="1:22" x14ac:dyDescent="0.35">
      <c r="A189" s="8">
        <v>1157</v>
      </c>
      <c r="B189" s="2">
        <v>46006</v>
      </c>
      <c r="C189" t="s">
        <v>27</v>
      </c>
      <c r="D189" t="s">
        <v>47</v>
      </c>
      <c r="E189" t="s">
        <v>117</v>
      </c>
      <c r="F189" t="s">
        <v>24</v>
      </c>
      <c r="G189" t="s">
        <v>63</v>
      </c>
      <c r="H189" s="8">
        <v>15</v>
      </c>
      <c r="I189" s="8">
        <v>269.54000000000002</v>
      </c>
      <c r="J189" s="8">
        <v>0.15</v>
      </c>
      <c r="K189" s="14">
        <v>3436.64</v>
      </c>
      <c r="L189" t="s">
        <v>35</v>
      </c>
      <c r="M189" t="s">
        <v>20</v>
      </c>
      <c r="N189" s="14">
        <f>Table14[[#This Row],[Quantity]]*Table14[[#This Row],[UnitPrice]]*(1-Table14[[#This Row],[Discount]])</f>
        <v>3436.6350000000002</v>
      </c>
      <c r="O189" s="8">
        <f>YEAR(Table14[[#This Row],[OrderDate]])</f>
        <v>2025</v>
      </c>
      <c r="P189" s="8" t="str">
        <f>TEXT(Table14[[#This Row],[OrderDate]],"mmmm")</f>
        <v>December</v>
      </c>
      <c r="Q189" s="8" t="str">
        <f t="shared" si="6"/>
        <v>Q4</v>
      </c>
      <c r="R189" s="3">
        <f>Table14[[#This Row],[Revenue]]*25%</f>
        <v>859.16</v>
      </c>
      <c r="S189" s="3">
        <f t="shared" si="7"/>
        <v>618.59519999999998</v>
      </c>
      <c r="T189" s="14">
        <f t="shared" si="8"/>
        <v>2818.0447999999997</v>
      </c>
      <c r="U189" s="3" t="str">
        <f t="array" ref="U189">_xlfn.IFS(Table14[[#This Row],[Revenue]]&gt;10000,"High",AND(Table14[[#This Row],[Revenue]]&gt;=5000,Table14[[#This Row],[Revenue]]&lt;=10000),"Medium",Table14[[#This Row],[Revenue]]&lt;5000,"Low")</f>
        <v>Low</v>
      </c>
      <c r="V189" s="3"/>
    </row>
    <row r="190" spans="1:22" x14ac:dyDescent="0.35">
      <c r="A190" s="8">
        <v>1163</v>
      </c>
      <c r="B190" s="2">
        <v>46009</v>
      </c>
      <c r="C190" t="s">
        <v>14</v>
      </c>
      <c r="D190" t="s">
        <v>28</v>
      </c>
      <c r="E190" t="s">
        <v>82</v>
      </c>
      <c r="F190" t="s">
        <v>33</v>
      </c>
      <c r="G190" t="s">
        <v>34</v>
      </c>
      <c r="H190" s="8">
        <v>10</v>
      </c>
      <c r="I190" s="8">
        <v>680.99</v>
      </c>
      <c r="J190" s="8">
        <v>0.15</v>
      </c>
      <c r="K190" s="14">
        <v>5788.41</v>
      </c>
      <c r="L190" t="s">
        <v>39</v>
      </c>
      <c r="M190" t="s">
        <v>26</v>
      </c>
      <c r="N190" s="14">
        <f>Table14[[#This Row],[Quantity]]*Table14[[#This Row],[UnitPrice]]*(1-Table14[[#This Row],[Discount]])</f>
        <v>5788.415</v>
      </c>
      <c r="O190" s="8">
        <f>YEAR(Table14[[#This Row],[OrderDate]])</f>
        <v>2025</v>
      </c>
      <c r="P190" s="8" t="str">
        <f>TEXT(Table14[[#This Row],[OrderDate]],"mmmm")</f>
        <v>December</v>
      </c>
      <c r="Q190" s="8" t="str">
        <f t="shared" si="6"/>
        <v>Q4</v>
      </c>
      <c r="R190" s="3">
        <f>Table14[[#This Row],[Revenue]]*25%</f>
        <v>1447.1025</v>
      </c>
      <c r="S190" s="3">
        <f t="shared" si="7"/>
        <v>1041.9138</v>
      </c>
      <c r="T190" s="14">
        <f t="shared" si="8"/>
        <v>4746.4961999999996</v>
      </c>
      <c r="U190" s="3" t="str">
        <f t="array" ref="U190">_xlfn.IFS(Table14[[#This Row],[Revenue]]&gt;10000,"High",AND(Table14[[#This Row],[Revenue]]&gt;=5000,Table14[[#This Row],[Revenue]]&lt;=10000),"Medium",Table14[[#This Row],[Revenue]]&lt;5000,"Low")</f>
        <v>Medium</v>
      </c>
      <c r="V190" s="3"/>
    </row>
    <row r="191" spans="1:22" x14ac:dyDescent="0.35">
      <c r="A191" s="8">
        <v>1094</v>
      </c>
      <c r="B191" s="2">
        <v>46011</v>
      </c>
      <c r="C191" t="s">
        <v>21</v>
      </c>
      <c r="D191" t="s">
        <v>28</v>
      </c>
      <c r="E191" t="s">
        <v>84</v>
      </c>
      <c r="F191" t="s">
        <v>24</v>
      </c>
      <c r="G191" t="s">
        <v>38</v>
      </c>
      <c r="H191" s="8">
        <v>14</v>
      </c>
      <c r="I191" s="8">
        <v>587.35</v>
      </c>
      <c r="J191" s="8">
        <v>0.05</v>
      </c>
      <c r="K191" s="14">
        <v>7811.75</v>
      </c>
      <c r="L191" t="s">
        <v>39</v>
      </c>
      <c r="M191" t="s">
        <v>26</v>
      </c>
      <c r="N191" s="14">
        <f>Table14[[#This Row],[Quantity]]*Table14[[#This Row],[UnitPrice]]*(1-Table14[[#This Row],[Discount]])</f>
        <v>7811.7549999999992</v>
      </c>
      <c r="O191" s="8">
        <f>YEAR(Table14[[#This Row],[OrderDate]])</f>
        <v>2025</v>
      </c>
      <c r="P191" s="8" t="str">
        <f>TEXT(Table14[[#This Row],[OrderDate]],"mmmm")</f>
        <v>December</v>
      </c>
      <c r="Q191" s="8" t="str">
        <f t="shared" si="6"/>
        <v>Q4</v>
      </c>
      <c r="R191" s="3">
        <f>Table14[[#This Row],[Revenue]]*25%</f>
        <v>1952.9375</v>
      </c>
      <c r="S191" s="3">
        <f t="shared" si="7"/>
        <v>1406.115</v>
      </c>
      <c r="T191" s="14">
        <f t="shared" si="8"/>
        <v>6405.6350000000002</v>
      </c>
      <c r="U191" s="3" t="str">
        <f t="array" ref="U191">_xlfn.IFS(Table14[[#This Row],[Revenue]]&gt;10000,"High",AND(Table14[[#This Row],[Revenue]]&gt;=5000,Table14[[#This Row],[Revenue]]&lt;=10000),"Medium",Table14[[#This Row],[Revenue]]&lt;5000,"Low")</f>
        <v>Medium</v>
      </c>
      <c r="V191" s="3"/>
    </row>
    <row r="192" spans="1:22" x14ac:dyDescent="0.35">
      <c r="A192" s="8">
        <v>1263</v>
      </c>
      <c r="B192" s="2">
        <v>46011</v>
      </c>
      <c r="C192" t="s">
        <v>14</v>
      </c>
      <c r="D192" t="s">
        <v>15</v>
      </c>
      <c r="E192" t="s">
        <v>74</v>
      </c>
      <c r="F192" t="s">
        <v>17</v>
      </c>
      <c r="G192" t="s">
        <v>30</v>
      </c>
      <c r="H192" s="8">
        <v>5</v>
      </c>
      <c r="I192" s="8">
        <v>1052.71</v>
      </c>
      <c r="J192" s="8">
        <v>0.15</v>
      </c>
      <c r="K192" s="14">
        <v>4474.0200000000004</v>
      </c>
      <c r="L192" t="s">
        <v>35</v>
      </c>
      <c r="M192" t="s">
        <v>36</v>
      </c>
      <c r="N192" s="14">
        <f>Table14[[#This Row],[Quantity]]*Table14[[#This Row],[UnitPrice]]*(1-Table14[[#This Row],[Discount]])</f>
        <v>4474.0174999999999</v>
      </c>
      <c r="O192" s="8">
        <f>YEAR(Table14[[#This Row],[OrderDate]])</f>
        <v>2025</v>
      </c>
      <c r="P192" s="8" t="str">
        <f>TEXT(Table14[[#This Row],[OrderDate]],"mmmm")</f>
        <v>December</v>
      </c>
      <c r="Q192" s="8" t="str">
        <f t="shared" si="6"/>
        <v>Q4</v>
      </c>
      <c r="R192" s="3">
        <f>Table14[[#This Row],[Revenue]]*25%</f>
        <v>1118.5050000000001</v>
      </c>
      <c r="S192" s="3">
        <f t="shared" si="7"/>
        <v>805.32360000000006</v>
      </c>
      <c r="T192" s="14">
        <f t="shared" si="8"/>
        <v>3668.6964000000003</v>
      </c>
      <c r="U192" s="3" t="str">
        <f t="array" ref="U192">_xlfn.IFS(Table14[[#This Row],[Revenue]]&gt;10000,"High",AND(Table14[[#This Row],[Revenue]]&gt;=5000,Table14[[#This Row],[Revenue]]&lt;=10000),"Medium",Table14[[#This Row],[Revenue]]&lt;5000,"Low")</f>
        <v>Low</v>
      </c>
      <c r="V192" s="3"/>
    </row>
    <row r="193" spans="1:22" x14ac:dyDescent="0.35">
      <c r="A193" s="8">
        <v>1130</v>
      </c>
      <c r="B193" s="2">
        <v>46013</v>
      </c>
      <c r="C193" t="s">
        <v>27</v>
      </c>
      <c r="D193" t="s">
        <v>15</v>
      </c>
      <c r="E193" t="s">
        <v>55</v>
      </c>
      <c r="F193" t="s">
        <v>33</v>
      </c>
      <c r="G193" t="s">
        <v>61</v>
      </c>
      <c r="H193" s="8">
        <v>10</v>
      </c>
      <c r="I193" s="8">
        <v>440.81</v>
      </c>
      <c r="J193" s="8">
        <v>0.15</v>
      </c>
      <c r="K193" s="14">
        <v>3746.89</v>
      </c>
      <c r="L193" t="s">
        <v>19</v>
      </c>
      <c r="M193" t="s">
        <v>26</v>
      </c>
      <c r="N193" s="14">
        <f>Table14[[#This Row],[Quantity]]*Table14[[#This Row],[UnitPrice]]*(1-Table14[[#This Row],[Discount]])</f>
        <v>3746.8850000000002</v>
      </c>
      <c r="O193" s="8">
        <f>YEAR(Table14[[#This Row],[OrderDate]])</f>
        <v>2025</v>
      </c>
      <c r="P193" s="8" t="str">
        <f>TEXT(Table14[[#This Row],[OrderDate]],"mmmm")</f>
        <v>December</v>
      </c>
      <c r="Q193" s="8" t="str">
        <f t="shared" si="6"/>
        <v>Q4</v>
      </c>
      <c r="R193" s="3">
        <f>Table14[[#This Row],[Revenue]]*25%</f>
        <v>936.72249999999997</v>
      </c>
      <c r="S193" s="3">
        <f t="shared" si="7"/>
        <v>674.4402</v>
      </c>
      <c r="T193" s="14">
        <f t="shared" si="8"/>
        <v>3072.4497999999999</v>
      </c>
      <c r="U193" s="3" t="str">
        <f t="array" ref="U193">_xlfn.IFS(Table14[[#This Row],[Revenue]]&gt;10000,"High",AND(Table14[[#This Row],[Revenue]]&gt;=5000,Table14[[#This Row],[Revenue]]&lt;=10000),"Medium",Table14[[#This Row],[Revenue]]&lt;5000,"Low")</f>
        <v>Low</v>
      </c>
      <c r="V193" s="3"/>
    </row>
    <row r="194" spans="1:22" x14ac:dyDescent="0.35">
      <c r="A194" s="8">
        <v>1057</v>
      </c>
      <c r="B194" s="2">
        <v>46014</v>
      </c>
      <c r="C194" t="s">
        <v>27</v>
      </c>
      <c r="D194" t="s">
        <v>54</v>
      </c>
      <c r="E194" t="s">
        <v>44</v>
      </c>
      <c r="F194" t="s">
        <v>33</v>
      </c>
      <c r="G194" t="s">
        <v>34</v>
      </c>
      <c r="H194" s="8">
        <v>9</v>
      </c>
      <c r="I194" s="8">
        <v>43.43</v>
      </c>
      <c r="J194" s="8">
        <v>0.15</v>
      </c>
      <c r="K194" s="14">
        <v>332.24</v>
      </c>
      <c r="L194" t="s">
        <v>19</v>
      </c>
      <c r="M194" t="s">
        <v>20</v>
      </c>
      <c r="N194" s="14">
        <f>Table14[[#This Row],[Quantity]]*Table14[[#This Row],[UnitPrice]]*(1-Table14[[#This Row],[Discount]])</f>
        <v>332.23950000000002</v>
      </c>
      <c r="O194" s="8">
        <f>YEAR(Table14[[#This Row],[OrderDate]])</f>
        <v>2025</v>
      </c>
      <c r="P194" s="8" t="str">
        <f>TEXT(Table14[[#This Row],[OrderDate]],"mmmm")</f>
        <v>December</v>
      </c>
      <c r="Q194" s="8" t="str">
        <f t="shared" ref="Q194:Q257" si="9">"Q"&amp;ROUNDUP(MONTH(B194)/3,0)</f>
        <v>Q4</v>
      </c>
      <c r="R194" s="3">
        <f>Table14[[#This Row],[Revenue]]*25%</f>
        <v>83.06</v>
      </c>
      <c r="S194" s="3">
        <f t="shared" ref="S194:S257" si="10">K194*18%</f>
        <v>59.803199999999997</v>
      </c>
      <c r="T194" s="14">
        <f t="shared" ref="T194:T257" si="11">K194-S194</f>
        <v>272.43680000000001</v>
      </c>
      <c r="U194" s="3" t="str">
        <f t="array" ref="U194">_xlfn.IFS(Table14[[#This Row],[Revenue]]&gt;10000,"High",AND(Table14[[#This Row],[Revenue]]&gt;=5000,Table14[[#This Row],[Revenue]]&lt;=10000),"Medium",Table14[[#This Row],[Revenue]]&lt;5000,"Low")</f>
        <v>Low</v>
      </c>
      <c r="V194" s="3"/>
    </row>
    <row r="195" spans="1:22" x14ac:dyDescent="0.35">
      <c r="A195" s="8">
        <v>1252</v>
      </c>
      <c r="B195" s="2">
        <v>46014</v>
      </c>
      <c r="C195" t="s">
        <v>27</v>
      </c>
      <c r="D195" t="s">
        <v>28</v>
      </c>
      <c r="E195" t="s">
        <v>102</v>
      </c>
      <c r="F195" t="s">
        <v>24</v>
      </c>
      <c r="G195" t="s">
        <v>63</v>
      </c>
      <c r="H195" s="8">
        <v>11</v>
      </c>
      <c r="I195" s="8">
        <v>597.44000000000005</v>
      </c>
      <c r="J195" s="8">
        <v>0.1</v>
      </c>
      <c r="K195" s="14">
        <v>5914.66</v>
      </c>
      <c r="L195" t="s">
        <v>39</v>
      </c>
      <c r="M195" t="s">
        <v>36</v>
      </c>
      <c r="N195" s="14">
        <f>Table14[[#This Row],[Quantity]]*Table14[[#This Row],[UnitPrice]]*(1-Table14[[#This Row],[Discount]])</f>
        <v>5914.6559999999999</v>
      </c>
      <c r="O195" s="8">
        <f>YEAR(Table14[[#This Row],[OrderDate]])</f>
        <v>2025</v>
      </c>
      <c r="P195" s="8" t="str">
        <f>TEXT(Table14[[#This Row],[OrderDate]],"mmmm")</f>
        <v>December</v>
      </c>
      <c r="Q195" s="8" t="str">
        <f t="shared" si="9"/>
        <v>Q4</v>
      </c>
      <c r="R195" s="3">
        <f>Table14[[#This Row],[Revenue]]*25%</f>
        <v>1478.665</v>
      </c>
      <c r="S195" s="3">
        <f t="shared" si="10"/>
        <v>1064.6387999999999</v>
      </c>
      <c r="T195" s="14">
        <f t="shared" si="11"/>
        <v>4850.0212000000001</v>
      </c>
      <c r="U195" s="3" t="str">
        <f t="array" ref="U195">_xlfn.IFS(Table14[[#This Row],[Revenue]]&gt;10000,"High",AND(Table14[[#This Row],[Revenue]]&gt;=5000,Table14[[#This Row],[Revenue]]&lt;=10000),"Medium",Table14[[#This Row],[Revenue]]&lt;5000,"Low")</f>
        <v>Medium</v>
      </c>
      <c r="V195" s="3"/>
    </row>
    <row r="196" spans="1:22" x14ac:dyDescent="0.35">
      <c r="A196" s="8">
        <v>1065</v>
      </c>
      <c r="B196" s="2">
        <v>46015</v>
      </c>
      <c r="C196" t="s">
        <v>21</v>
      </c>
      <c r="D196" t="s">
        <v>31</v>
      </c>
      <c r="E196" t="s">
        <v>108</v>
      </c>
      <c r="F196" t="s">
        <v>17</v>
      </c>
      <c r="G196" t="s">
        <v>30</v>
      </c>
      <c r="H196" s="8">
        <v>13</v>
      </c>
      <c r="I196" s="8">
        <v>1000.28</v>
      </c>
      <c r="J196" s="8">
        <v>0.15</v>
      </c>
      <c r="K196" s="14">
        <v>11053.09</v>
      </c>
      <c r="L196" t="s">
        <v>39</v>
      </c>
      <c r="M196" t="s">
        <v>36</v>
      </c>
      <c r="N196" s="14">
        <f>Table14[[#This Row],[Quantity]]*Table14[[#This Row],[UnitPrice]]*(1-Table14[[#This Row],[Discount]])</f>
        <v>11053.093999999999</v>
      </c>
      <c r="O196" s="8">
        <f>YEAR(Table14[[#This Row],[OrderDate]])</f>
        <v>2025</v>
      </c>
      <c r="P196" s="8" t="str">
        <f>TEXT(Table14[[#This Row],[OrderDate]],"mmmm")</f>
        <v>December</v>
      </c>
      <c r="Q196" s="8" t="str">
        <f t="shared" si="9"/>
        <v>Q4</v>
      </c>
      <c r="R196" s="3">
        <f>Table14[[#This Row],[Revenue]]*25%</f>
        <v>2763.2725</v>
      </c>
      <c r="S196" s="3">
        <f t="shared" si="10"/>
        <v>1989.5562</v>
      </c>
      <c r="T196" s="14">
        <f t="shared" si="11"/>
        <v>9063.5338000000011</v>
      </c>
      <c r="U196" s="3" t="str">
        <f t="array" ref="U196">_xlfn.IFS(Table14[[#This Row],[Revenue]]&gt;10000,"High",AND(Table14[[#This Row],[Revenue]]&gt;=5000,Table14[[#This Row],[Revenue]]&lt;=10000),"Medium",Table14[[#This Row],[Revenue]]&lt;5000,"Low")</f>
        <v>High</v>
      </c>
      <c r="V196" s="3"/>
    </row>
    <row r="197" spans="1:22" x14ac:dyDescent="0.35">
      <c r="A197" s="8">
        <v>1136</v>
      </c>
      <c r="B197" s="2">
        <v>46017</v>
      </c>
      <c r="C197" t="s">
        <v>21</v>
      </c>
      <c r="D197" t="s">
        <v>22</v>
      </c>
      <c r="E197" t="s">
        <v>62</v>
      </c>
      <c r="F197" t="s">
        <v>17</v>
      </c>
      <c r="G197" t="s">
        <v>46</v>
      </c>
      <c r="H197" s="8">
        <v>15</v>
      </c>
      <c r="I197" s="8">
        <v>628.37</v>
      </c>
      <c r="J197" s="8">
        <v>0.1</v>
      </c>
      <c r="K197" s="14">
        <v>8482.99</v>
      </c>
      <c r="L197" t="s">
        <v>39</v>
      </c>
      <c r="M197" t="s">
        <v>36</v>
      </c>
      <c r="N197" s="14">
        <f>Table14[[#This Row],[Quantity]]*Table14[[#This Row],[UnitPrice]]*(1-Table14[[#This Row],[Discount]])</f>
        <v>8482.994999999999</v>
      </c>
      <c r="O197" s="8">
        <f>YEAR(Table14[[#This Row],[OrderDate]])</f>
        <v>2025</v>
      </c>
      <c r="P197" s="8" t="str">
        <f>TEXT(Table14[[#This Row],[OrderDate]],"mmmm")</f>
        <v>December</v>
      </c>
      <c r="Q197" s="8" t="str">
        <f t="shared" si="9"/>
        <v>Q4</v>
      </c>
      <c r="R197" s="3">
        <f>Table14[[#This Row],[Revenue]]*25%</f>
        <v>2120.7474999999999</v>
      </c>
      <c r="S197" s="3">
        <f t="shared" si="10"/>
        <v>1526.9381999999998</v>
      </c>
      <c r="T197" s="14">
        <f t="shared" si="11"/>
        <v>6956.0518000000002</v>
      </c>
      <c r="U197" s="3" t="str">
        <f t="array" ref="U197">_xlfn.IFS(Table14[[#This Row],[Revenue]]&gt;10000,"High",AND(Table14[[#This Row],[Revenue]]&gt;=5000,Table14[[#This Row],[Revenue]]&lt;=10000),"Medium",Table14[[#This Row],[Revenue]]&lt;5000,"Low")</f>
        <v>Medium</v>
      </c>
      <c r="V197" s="3"/>
    </row>
    <row r="198" spans="1:22" x14ac:dyDescent="0.35">
      <c r="A198" s="8">
        <v>1097</v>
      </c>
      <c r="B198" s="2">
        <v>46025</v>
      </c>
      <c r="C198" t="s">
        <v>43</v>
      </c>
      <c r="D198" t="s">
        <v>15</v>
      </c>
      <c r="E198" t="s">
        <v>80</v>
      </c>
      <c r="F198" t="s">
        <v>17</v>
      </c>
      <c r="G198" t="s">
        <v>18</v>
      </c>
      <c r="H198" s="8">
        <v>5</v>
      </c>
      <c r="I198" s="8">
        <v>816.74</v>
      </c>
      <c r="J198" s="8">
        <v>0.1</v>
      </c>
      <c r="K198" s="14">
        <v>3675.33</v>
      </c>
      <c r="L198" t="s">
        <v>19</v>
      </c>
      <c r="M198" t="s">
        <v>36</v>
      </c>
      <c r="N198" s="14">
        <f>Table14[[#This Row],[Quantity]]*Table14[[#This Row],[UnitPrice]]*(1-Table14[[#This Row],[Discount]])</f>
        <v>3675.33</v>
      </c>
      <c r="O198" s="8">
        <f>YEAR(Table14[[#This Row],[OrderDate]])</f>
        <v>2026</v>
      </c>
      <c r="P198" s="8" t="str">
        <f>TEXT(Table14[[#This Row],[OrderDate]],"mmmm")</f>
        <v>January</v>
      </c>
      <c r="Q198" s="8" t="str">
        <f t="shared" si="9"/>
        <v>Q1</v>
      </c>
      <c r="R198" s="3">
        <f>Table14[[#This Row],[Revenue]]*25%</f>
        <v>918.83249999999998</v>
      </c>
      <c r="S198" s="3">
        <f t="shared" si="10"/>
        <v>661.55939999999998</v>
      </c>
      <c r="T198" s="14">
        <f t="shared" si="11"/>
        <v>3013.7705999999998</v>
      </c>
      <c r="U198" s="3" t="str">
        <f t="array" ref="U198">_xlfn.IFS(Table14[[#This Row],[Revenue]]&gt;10000,"High",AND(Table14[[#This Row],[Revenue]]&gt;=5000,Table14[[#This Row],[Revenue]]&lt;=10000),"Medium",Table14[[#This Row],[Revenue]]&lt;5000,"Low")</f>
        <v>Low</v>
      </c>
      <c r="V198" s="3"/>
    </row>
    <row r="199" spans="1:22" x14ac:dyDescent="0.35">
      <c r="A199" s="8">
        <v>1009</v>
      </c>
      <c r="B199" s="2">
        <v>46026</v>
      </c>
      <c r="C199" t="s">
        <v>43</v>
      </c>
      <c r="D199" t="s">
        <v>15</v>
      </c>
      <c r="E199" t="s">
        <v>111</v>
      </c>
      <c r="F199" t="s">
        <v>33</v>
      </c>
      <c r="G199" t="s">
        <v>53</v>
      </c>
      <c r="H199" s="8">
        <v>6</v>
      </c>
      <c r="I199" s="8">
        <v>418.1</v>
      </c>
      <c r="J199" s="8">
        <v>0.05</v>
      </c>
      <c r="K199" s="14">
        <v>2383.17</v>
      </c>
      <c r="L199" t="s">
        <v>35</v>
      </c>
      <c r="M199" t="s">
        <v>36</v>
      </c>
      <c r="N199" s="14">
        <f>Table14[[#This Row],[Quantity]]*Table14[[#This Row],[UnitPrice]]*(1-Table14[[#This Row],[Discount]])</f>
        <v>2383.17</v>
      </c>
      <c r="O199" s="8">
        <f>YEAR(Table14[[#This Row],[OrderDate]])</f>
        <v>2026</v>
      </c>
      <c r="P199" s="8" t="str">
        <f>TEXT(Table14[[#This Row],[OrderDate]],"mmmm")</f>
        <v>January</v>
      </c>
      <c r="Q199" s="8" t="str">
        <f t="shared" si="9"/>
        <v>Q1</v>
      </c>
      <c r="R199" s="3">
        <f>Table14[[#This Row],[Revenue]]*25%</f>
        <v>595.79250000000002</v>
      </c>
      <c r="S199" s="3">
        <f t="shared" si="10"/>
        <v>428.97059999999999</v>
      </c>
      <c r="T199" s="14">
        <f t="shared" si="11"/>
        <v>1954.1994</v>
      </c>
      <c r="U199" s="3" t="str">
        <f t="array" ref="U199">_xlfn.IFS(Table14[[#This Row],[Revenue]]&gt;10000,"High",AND(Table14[[#This Row],[Revenue]]&gt;=5000,Table14[[#This Row],[Revenue]]&lt;=10000),"Medium",Table14[[#This Row],[Revenue]]&lt;5000,"Low")</f>
        <v>Low</v>
      </c>
      <c r="V199" s="3"/>
    </row>
    <row r="200" spans="1:22" x14ac:dyDescent="0.35">
      <c r="A200" s="8">
        <v>1140</v>
      </c>
      <c r="B200" s="2">
        <v>46026</v>
      </c>
      <c r="C200" t="s">
        <v>27</v>
      </c>
      <c r="D200" t="s">
        <v>28</v>
      </c>
      <c r="E200" t="s">
        <v>41</v>
      </c>
      <c r="F200" t="s">
        <v>33</v>
      </c>
      <c r="G200" t="s">
        <v>34</v>
      </c>
      <c r="H200" s="8">
        <v>13</v>
      </c>
      <c r="I200" s="8">
        <v>284.39999999999998</v>
      </c>
      <c r="J200" s="8">
        <v>0.05</v>
      </c>
      <c r="K200" s="14">
        <v>3512.34</v>
      </c>
      <c r="L200" t="s">
        <v>19</v>
      </c>
      <c r="M200" t="s">
        <v>36</v>
      </c>
      <c r="N200" s="14">
        <f>Table14[[#This Row],[Quantity]]*Table14[[#This Row],[UnitPrice]]*(1-Table14[[#This Row],[Discount]])</f>
        <v>3512.3399999999997</v>
      </c>
      <c r="O200" s="8">
        <f>YEAR(Table14[[#This Row],[OrderDate]])</f>
        <v>2026</v>
      </c>
      <c r="P200" s="8" t="str">
        <f>TEXT(Table14[[#This Row],[OrderDate]],"mmmm")</f>
        <v>January</v>
      </c>
      <c r="Q200" s="8" t="str">
        <f t="shared" si="9"/>
        <v>Q1</v>
      </c>
      <c r="R200" s="3">
        <f>Table14[[#This Row],[Revenue]]*25%</f>
        <v>878.08500000000004</v>
      </c>
      <c r="S200" s="3">
        <f t="shared" si="10"/>
        <v>632.22119999999995</v>
      </c>
      <c r="T200" s="14">
        <f t="shared" si="11"/>
        <v>2880.1188000000002</v>
      </c>
      <c r="U200" s="3" t="str">
        <f t="array" ref="U200">_xlfn.IFS(Table14[[#This Row],[Revenue]]&gt;10000,"High",AND(Table14[[#This Row],[Revenue]]&gt;=5000,Table14[[#This Row],[Revenue]]&lt;=10000),"Medium",Table14[[#This Row],[Revenue]]&lt;5000,"Low")</f>
        <v>Low</v>
      </c>
      <c r="V200" s="3"/>
    </row>
    <row r="201" spans="1:22" x14ac:dyDescent="0.35">
      <c r="A201" s="8">
        <v>1224</v>
      </c>
      <c r="B201" s="2">
        <v>46027</v>
      </c>
      <c r="C201" t="s">
        <v>43</v>
      </c>
      <c r="D201" t="s">
        <v>22</v>
      </c>
      <c r="E201" t="s">
        <v>79</v>
      </c>
      <c r="F201" t="s">
        <v>17</v>
      </c>
      <c r="G201" t="s">
        <v>30</v>
      </c>
      <c r="H201" s="8">
        <v>4</v>
      </c>
      <c r="I201" s="8">
        <v>1032.07</v>
      </c>
      <c r="J201" s="8">
        <v>0.05</v>
      </c>
      <c r="K201" s="14">
        <v>3921.87</v>
      </c>
      <c r="L201" t="s">
        <v>19</v>
      </c>
      <c r="M201" t="s">
        <v>36</v>
      </c>
      <c r="N201" s="14">
        <f>Table14[[#This Row],[Quantity]]*Table14[[#This Row],[UnitPrice]]*(1-Table14[[#This Row],[Discount]])</f>
        <v>3921.8659999999995</v>
      </c>
      <c r="O201" s="8">
        <f>YEAR(Table14[[#This Row],[OrderDate]])</f>
        <v>2026</v>
      </c>
      <c r="P201" s="8" t="str">
        <f>TEXT(Table14[[#This Row],[OrderDate]],"mmmm")</f>
        <v>January</v>
      </c>
      <c r="Q201" s="8" t="str">
        <f t="shared" si="9"/>
        <v>Q1</v>
      </c>
      <c r="R201" s="3">
        <f>Table14[[#This Row],[Revenue]]*25%</f>
        <v>980.46749999999997</v>
      </c>
      <c r="S201" s="3">
        <f t="shared" si="10"/>
        <v>705.9366</v>
      </c>
      <c r="T201" s="14">
        <f t="shared" si="11"/>
        <v>3215.9333999999999</v>
      </c>
      <c r="U201" s="3" t="str">
        <f t="array" ref="U201">_xlfn.IFS(Table14[[#This Row],[Revenue]]&gt;10000,"High",AND(Table14[[#This Row],[Revenue]]&gt;=5000,Table14[[#This Row],[Revenue]]&lt;=10000),"Medium",Table14[[#This Row],[Revenue]]&lt;5000,"Low")</f>
        <v>Low</v>
      </c>
      <c r="V201" s="3"/>
    </row>
    <row r="202" spans="1:22" x14ac:dyDescent="0.35">
      <c r="A202" s="8">
        <v>1145</v>
      </c>
      <c r="B202" s="2">
        <v>46028</v>
      </c>
      <c r="C202" t="s">
        <v>43</v>
      </c>
      <c r="D202" t="s">
        <v>31</v>
      </c>
      <c r="E202" t="s">
        <v>92</v>
      </c>
      <c r="F202" t="s">
        <v>17</v>
      </c>
      <c r="G202" t="s">
        <v>18</v>
      </c>
      <c r="H202" s="8">
        <v>14</v>
      </c>
      <c r="I202" s="8">
        <v>341.26</v>
      </c>
      <c r="J202" s="8">
        <v>0.05</v>
      </c>
      <c r="K202" s="14">
        <v>4538.76</v>
      </c>
      <c r="L202" t="s">
        <v>19</v>
      </c>
      <c r="M202" t="s">
        <v>20</v>
      </c>
      <c r="N202" s="14">
        <f>Table14[[#This Row],[Quantity]]*Table14[[#This Row],[UnitPrice]]*(1-Table14[[#This Row],[Discount]])</f>
        <v>4538.7579999999989</v>
      </c>
      <c r="O202" s="8">
        <f>YEAR(Table14[[#This Row],[OrderDate]])</f>
        <v>2026</v>
      </c>
      <c r="P202" s="8" t="str">
        <f>TEXT(Table14[[#This Row],[OrderDate]],"mmmm")</f>
        <v>January</v>
      </c>
      <c r="Q202" s="8" t="str">
        <f t="shared" si="9"/>
        <v>Q1</v>
      </c>
      <c r="R202" s="3">
        <f>Table14[[#This Row],[Revenue]]*25%</f>
        <v>1134.69</v>
      </c>
      <c r="S202" s="3">
        <f t="shared" si="10"/>
        <v>816.97680000000003</v>
      </c>
      <c r="T202" s="14">
        <f t="shared" si="11"/>
        <v>3721.7832000000003</v>
      </c>
      <c r="U202" s="3" t="str">
        <f t="array" ref="U202">_xlfn.IFS(Table14[[#This Row],[Revenue]]&gt;10000,"High",AND(Table14[[#This Row],[Revenue]]&gt;=5000,Table14[[#This Row],[Revenue]]&lt;=10000),"Medium",Table14[[#This Row],[Revenue]]&lt;5000,"Low")</f>
        <v>Low</v>
      </c>
      <c r="V202" s="3"/>
    </row>
    <row r="203" spans="1:22" x14ac:dyDescent="0.35">
      <c r="A203" s="8">
        <v>1146</v>
      </c>
      <c r="B203" s="2">
        <v>46030</v>
      </c>
      <c r="C203" t="s">
        <v>21</v>
      </c>
      <c r="D203" t="s">
        <v>31</v>
      </c>
      <c r="E203" t="s">
        <v>114</v>
      </c>
      <c r="F203" t="s">
        <v>17</v>
      </c>
      <c r="G203" t="s">
        <v>30</v>
      </c>
      <c r="H203" s="8">
        <v>1</v>
      </c>
      <c r="I203" s="8">
        <v>536.55999999999995</v>
      </c>
      <c r="J203" s="8">
        <v>0.1</v>
      </c>
      <c r="K203" s="14">
        <v>482.9</v>
      </c>
      <c r="L203" t="s">
        <v>35</v>
      </c>
      <c r="M203" t="s">
        <v>20</v>
      </c>
      <c r="N203" s="14">
        <f>Table14[[#This Row],[Quantity]]*Table14[[#This Row],[UnitPrice]]*(1-Table14[[#This Row],[Discount]])</f>
        <v>482.90399999999994</v>
      </c>
      <c r="O203" s="8">
        <f>YEAR(Table14[[#This Row],[OrderDate]])</f>
        <v>2026</v>
      </c>
      <c r="P203" s="8" t="str">
        <f>TEXT(Table14[[#This Row],[OrderDate]],"mmmm")</f>
        <v>January</v>
      </c>
      <c r="Q203" s="8" t="str">
        <f t="shared" si="9"/>
        <v>Q1</v>
      </c>
      <c r="R203" s="3">
        <f>Table14[[#This Row],[Revenue]]*25%</f>
        <v>120.72499999999999</v>
      </c>
      <c r="S203" s="3">
        <f t="shared" si="10"/>
        <v>86.921999999999997</v>
      </c>
      <c r="T203" s="14">
        <f t="shared" si="11"/>
        <v>395.97799999999995</v>
      </c>
      <c r="U203" s="3" t="str">
        <f t="array" ref="U203">_xlfn.IFS(Table14[[#This Row],[Revenue]]&gt;10000,"High",AND(Table14[[#This Row],[Revenue]]&gt;=5000,Table14[[#This Row],[Revenue]]&lt;=10000),"Medium",Table14[[#This Row],[Revenue]]&lt;5000,"Low")</f>
        <v>Low</v>
      </c>
      <c r="V203" s="3"/>
    </row>
    <row r="204" spans="1:22" x14ac:dyDescent="0.35">
      <c r="A204" s="8">
        <v>1041</v>
      </c>
      <c r="B204" s="2">
        <v>46031</v>
      </c>
      <c r="C204" t="s">
        <v>27</v>
      </c>
      <c r="D204" t="s">
        <v>54</v>
      </c>
      <c r="E204" t="s">
        <v>72</v>
      </c>
      <c r="F204" t="s">
        <v>33</v>
      </c>
      <c r="G204" t="s">
        <v>53</v>
      </c>
      <c r="H204" s="8">
        <v>2</v>
      </c>
      <c r="I204" s="8">
        <v>24.82</v>
      </c>
      <c r="J204" s="8">
        <v>0.15</v>
      </c>
      <c r="K204" s="14">
        <v>42.19</v>
      </c>
      <c r="L204" t="s">
        <v>39</v>
      </c>
      <c r="M204" t="s">
        <v>26</v>
      </c>
      <c r="N204" s="14">
        <f>Table14[[#This Row],[Quantity]]*Table14[[#This Row],[UnitPrice]]*(1-Table14[[#This Row],[Discount]])</f>
        <v>42.194000000000003</v>
      </c>
      <c r="O204" s="8">
        <f>YEAR(Table14[[#This Row],[OrderDate]])</f>
        <v>2026</v>
      </c>
      <c r="P204" s="8" t="str">
        <f>TEXT(Table14[[#This Row],[OrderDate]],"mmmm")</f>
        <v>January</v>
      </c>
      <c r="Q204" s="8" t="str">
        <f t="shared" si="9"/>
        <v>Q1</v>
      </c>
      <c r="R204" s="3">
        <f>Table14[[#This Row],[Revenue]]*25%</f>
        <v>10.547499999999999</v>
      </c>
      <c r="S204" s="3">
        <f t="shared" si="10"/>
        <v>7.594199999999999</v>
      </c>
      <c r="T204" s="14">
        <f t="shared" si="11"/>
        <v>34.595799999999997</v>
      </c>
      <c r="U204" s="3" t="str">
        <f t="array" ref="U204">_xlfn.IFS(Table14[[#This Row],[Revenue]]&gt;10000,"High",AND(Table14[[#This Row],[Revenue]]&gt;=5000,Table14[[#This Row],[Revenue]]&lt;=10000),"Medium",Table14[[#This Row],[Revenue]]&lt;5000,"Low")</f>
        <v>Low</v>
      </c>
      <c r="V204" s="3"/>
    </row>
    <row r="205" spans="1:22" x14ac:dyDescent="0.35">
      <c r="A205" s="8">
        <v>1205</v>
      </c>
      <c r="B205" s="2">
        <v>46031</v>
      </c>
      <c r="C205" t="s">
        <v>21</v>
      </c>
      <c r="D205" t="s">
        <v>28</v>
      </c>
      <c r="E205" t="s">
        <v>51</v>
      </c>
      <c r="F205" t="s">
        <v>33</v>
      </c>
      <c r="G205" t="s">
        <v>53</v>
      </c>
      <c r="H205" s="8">
        <v>2</v>
      </c>
      <c r="I205" s="8">
        <v>919.46</v>
      </c>
      <c r="J205" s="8">
        <v>0.05</v>
      </c>
      <c r="K205" s="14">
        <v>1746.97</v>
      </c>
      <c r="L205" t="s">
        <v>19</v>
      </c>
      <c r="M205" t="s">
        <v>26</v>
      </c>
      <c r="N205" s="14">
        <f>Table14[[#This Row],[Quantity]]*Table14[[#This Row],[UnitPrice]]*(1-Table14[[#This Row],[Discount]])</f>
        <v>1746.9739999999999</v>
      </c>
      <c r="O205" s="8">
        <f>YEAR(Table14[[#This Row],[OrderDate]])</f>
        <v>2026</v>
      </c>
      <c r="P205" s="8" t="str">
        <f>TEXT(Table14[[#This Row],[OrderDate]],"mmmm")</f>
        <v>January</v>
      </c>
      <c r="Q205" s="8" t="str">
        <f t="shared" si="9"/>
        <v>Q1</v>
      </c>
      <c r="R205" s="3">
        <f>Table14[[#This Row],[Revenue]]*25%</f>
        <v>436.74250000000001</v>
      </c>
      <c r="S205" s="3">
        <f t="shared" si="10"/>
        <v>314.45459999999997</v>
      </c>
      <c r="T205" s="14">
        <f t="shared" si="11"/>
        <v>1432.5154</v>
      </c>
      <c r="U205" s="3" t="str">
        <f t="array" ref="U205">_xlfn.IFS(Table14[[#This Row],[Revenue]]&gt;10000,"High",AND(Table14[[#This Row],[Revenue]]&gt;=5000,Table14[[#This Row],[Revenue]]&lt;=10000),"Medium",Table14[[#This Row],[Revenue]]&lt;5000,"Low")</f>
        <v>Low</v>
      </c>
      <c r="V205" s="3"/>
    </row>
    <row r="206" spans="1:22" x14ac:dyDescent="0.35">
      <c r="A206" s="8">
        <v>1077</v>
      </c>
      <c r="B206" s="2">
        <v>46032</v>
      </c>
      <c r="C206" t="s">
        <v>21</v>
      </c>
      <c r="D206" t="s">
        <v>28</v>
      </c>
      <c r="E206" t="s">
        <v>118</v>
      </c>
      <c r="F206" t="s">
        <v>33</v>
      </c>
      <c r="G206" t="s">
        <v>53</v>
      </c>
      <c r="H206" s="8">
        <v>9</v>
      </c>
      <c r="I206" s="8">
        <v>819.45</v>
      </c>
      <c r="J206" s="8">
        <v>0.1</v>
      </c>
      <c r="K206" s="14">
        <v>6637.55</v>
      </c>
      <c r="L206" t="s">
        <v>39</v>
      </c>
      <c r="M206" t="s">
        <v>36</v>
      </c>
      <c r="N206" s="14">
        <f>Table14[[#This Row],[Quantity]]*Table14[[#This Row],[UnitPrice]]*(1-Table14[[#This Row],[Discount]])</f>
        <v>6637.5450000000001</v>
      </c>
      <c r="O206" s="8">
        <f>YEAR(Table14[[#This Row],[OrderDate]])</f>
        <v>2026</v>
      </c>
      <c r="P206" s="8" t="str">
        <f>TEXT(Table14[[#This Row],[OrderDate]],"mmmm")</f>
        <v>January</v>
      </c>
      <c r="Q206" s="8" t="str">
        <f t="shared" si="9"/>
        <v>Q1</v>
      </c>
      <c r="R206" s="3">
        <f>Table14[[#This Row],[Revenue]]*25%</f>
        <v>1659.3875</v>
      </c>
      <c r="S206" s="3">
        <f t="shared" si="10"/>
        <v>1194.759</v>
      </c>
      <c r="T206" s="14">
        <f t="shared" si="11"/>
        <v>5442.7910000000002</v>
      </c>
      <c r="U206" s="3" t="str">
        <f t="array" ref="U206">_xlfn.IFS(Table14[[#This Row],[Revenue]]&gt;10000,"High",AND(Table14[[#This Row],[Revenue]]&gt;=5000,Table14[[#This Row],[Revenue]]&lt;=10000),"Medium",Table14[[#This Row],[Revenue]]&lt;5000,"Low")</f>
        <v>Medium</v>
      </c>
      <c r="V206" s="3"/>
    </row>
    <row r="207" spans="1:22" x14ac:dyDescent="0.35">
      <c r="A207" s="8">
        <v>1121</v>
      </c>
      <c r="B207" s="2">
        <v>46032</v>
      </c>
      <c r="C207" t="s">
        <v>27</v>
      </c>
      <c r="D207" t="s">
        <v>54</v>
      </c>
      <c r="E207" t="s">
        <v>29</v>
      </c>
      <c r="F207" t="s">
        <v>24</v>
      </c>
      <c r="G207" t="s">
        <v>25</v>
      </c>
      <c r="H207" s="8">
        <v>3</v>
      </c>
      <c r="I207" s="8">
        <v>78.92</v>
      </c>
      <c r="J207" s="8">
        <v>0.15</v>
      </c>
      <c r="K207" s="14">
        <v>201.25</v>
      </c>
      <c r="L207" t="s">
        <v>19</v>
      </c>
      <c r="M207" t="s">
        <v>36</v>
      </c>
      <c r="N207" s="14">
        <f>Table14[[#This Row],[Quantity]]*Table14[[#This Row],[UnitPrice]]*(1-Table14[[#This Row],[Discount]])</f>
        <v>201.24599999999998</v>
      </c>
      <c r="O207" s="8">
        <f>YEAR(Table14[[#This Row],[OrderDate]])</f>
        <v>2026</v>
      </c>
      <c r="P207" s="8" t="str">
        <f>TEXT(Table14[[#This Row],[OrderDate]],"mmmm")</f>
        <v>January</v>
      </c>
      <c r="Q207" s="8" t="str">
        <f t="shared" si="9"/>
        <v>Q1</v>
      </c>
      <c r="R207" s="3">
        <f>Table14[[#This Row],[Revenue]]*25%</f>
        <v>50.3125</v>
      </c>
      <c r="S207" s="3">
        <f t="shared" si="10"/>
        <v>36.225000000000001</v>
      </c>
      <c r="T207" s="14">
        <f t="shared" si="11"/>
        <v>165.02500000000001</v>
      </c>
      <c r="U207" s="3" t="str">
        <f t="array" ref="U207">_xlfn.IFS(Table14[[#This Row],[Revenue]]&gt;10000,"High",AND(Table14[[#This Row],[Revenue]]&gt;=5000,Table14[[#This Row],[Revenue]]&lt;=10000),"Medium",Table14[[#This Row],[Revenue]]&lt;5000,"Low")</f>
        <v>Low</v>
      </c>
      <c r="V207" s="3"/>
    </row>
    <row r="208" spans="1:22" x14ac:dyDescent="0.35">
      <c r="A208" s="8">
        <v>1264</v>
      </c>
      <c r="B208" s="2">
        <v>46032</v>
      </c>
      <c r="C208" t="s">
        <v>21</v>
      </c>
      <c r="D208" t="s">
        <v>28</v>
      </c>
      <c r="E208" t="s">
        <v>78</v>
      </c>
      <c r="F208" t="s">
        <v>24</v>
      </c>
      <c r="G208" t="s">
        <v>63</v>
      </c>
      <c r="H208" s="8">
        <v>14</v>
      </c>
      <c r="I208" s="8">
        <v>947.28</v>
      </c>
      <c r="J208" s="8">
        <v>0.05</v>
      </c>
      <c r="K208" s="14">
        <v>12598.82</v>
      </c>
      <c r="L208" t="s">
        <v>35</v>
      </c>
      <c r="M208" t="s">
        <v>36</v>
      </c>
      <c r="N208" s="14">
        <f>Table14[[#This Row],[Quantity]]*Table14[[#This Row],[UnitPrice]]*(1-Table14[[#This Row],[Discount]])</f>
        <v>12598.823999999999</v>
      </c>
      <c r="O208" s="8">
        <f>YEAR(Table14[[#This Row],[OrderDate]])</f>
        <v>2026</v>
      </c>
      <c r="P208" s="8" t="str">
        <f>TEXT(Table14[[#This Row],[OrderDate]],"mmmm")</f>
        <v>January</v>
      </c>
      <c r="Q208" s="8" t="str">
        <f t="shared" si="9"/>
        <v>Q1</v>
      </c>
      <c r="R208" s="3">
        <f>Table14[[#This Row],[Revenue]]*25%</f>
        <v>3149.7049999999999</v>
      </c>
      <c r="S208" s="3">
        <f t="shared" si="10"/>
        <v>2267.7875999999997</v>
      </c>
      <c r="T208" s="14">
        <f t="shared" si="11"/>
        <v>10331.0324</v>
      </c>
      <c r="U208" s="3" t="str">
        <f t="array" ref="U208">_xlfn.IFS(Table14[[#This Row],[Revenue]]&gt;10000,"High",AND(Table14[[#This Row],[Revenue]]&gt;=5000,Table14[[#This Row],[Revenue]]&lt;=10000),"Medium",Table14[[#This Row],[Revenue]]&lt;5000,"Low")</f>
        <v>High</v>
      </c>
      <c r="V208" s="3"/>
    </row>
    <row r="209" spans="1:22" x14ac:dyDescent="0.35">
      <c r="A209" s="8">
        <v>1294</v>
      </c>
      <c r="B209" s="2">
        <v>46035</v>
      </c>
      <c r="C209" t="s">
        <v>43</v>
      </c>
      <c r="D209" t="s">
        <v>31</v>
      </c>
      <c r="E209" t="s">
        <v>118</v>
      </c>
      <c r="F209" t="s">
        <v>17</v>
      </c>
      <c r="G209" t="s">
        <v>18</v>
      </c>
      <c r="H209" s="8">
        <v>6</v>
      </c>
      <c r="I209" s="8">
        <v>348.5</v>
      </c>
      <c r="J209" s="8">
        <v>0</v>
      </c>
      <c r="K209" s="14">
        <v>2091</v>
      </c>
      <c r="L209" t="s">
        <v>39</v>
      </c>
      <c r="M209" t="s">
        <v>20</v>
      </c>
      <c r="N209" s="14">
        <f>Table14[[#This Row],[Quantity]]*Table14[[#This Row],[UnitPrice]]*(1-Table14[[#This Row],[Discount]])</f>
        <v>2091</v>
      </c>
      <c r="O209" s="8">
        <f>YEAR(Table14[[#This Row],[OrderDate]])</f>
        <v>2026</v>
      </c>
      <c r="P209" s="8" t="str">
        <f>TEXT(Table14[[#This Row],[OrderDate]],"mmmm")</f>
        <v>January</v>
      </c>
      <c r="Q209" s="8" t="str">
        <f t="shared" si="9"/>
        <v>Q1</v>
      </c>
      <c r="R209" s="3">
        <f>Table14[[#This Row],[Revenue]]*25%</f>
        <v>522.75</v>
      </c>
      <c r="S209" s="3">
        <f t="shared" si="10"/>
        <v>376.38</v>
      </c>
      <c r="T209" s="14">
        <f t="shared" si="11"/>
        <v>1714.62</v>
      </c>
      <c r="U209" s="3" t="str">
        <f t="array" ref="U209">_xlfn.IFS(Table14[[#This Row],[Revenue]]&gt;10000,"High",AND(Table14[[#This Row],[Revenue]]&gt;=5000,Table14[[#This Row],[Revenue]]&lt;=10000),"Medium",Table14[[#This Row],[Revenue]]&lt;5000,"Low")</f>
        <v>Low</v>
      </c>
      <c r="V209" s="3"/>
    </row>
    <row r="210" spans="1:22" x14ac:dyDescent="0.35">
      <c r="A210" s="8">
        <v>1133</v>
      </c>
      <c r="B210" s="2">
        <v>46036</v>
      </c>
      <c r="C210" t="s">
        <v>14</v>
      </c>
      <c r="D210" t="s">
        <v>15</v>
      </c>
      <c r="E210" t="s">
        <v>86</v>
      </c>
      <c r="F210" t="s">
        <v>24</v>
      </c>
      <c r="G210" t="s">
        <v>38</v>
      </c>
      <c r="H210" s="8">
        <v>10</v>
      </c>
      <c r="I210" s="8">
        <v>1088.83</v>
      </c>
      <c r="J210" s="8">
        <v>0.1</v>
      </c>
      <c r="K210" s="14">
        <v>9799.4699999999993</v>
      </c>
      <c r="L210" t="s">
        <v>19</v>
      </c>
      <c r="M210" t="s">
        <v>36</v>
      </c>
      <c r="N210" s="14">
        <f>Table14[[#This Row],[Quantity]]*Table14[[#This Row],[UnitPrice]]*(1-Table14[[#This Row],[Discount]])</f>
        <v>9799.4699999999993</v>
      </c>
      <c r="O210" s="8">
        <f>YEAR(Table14[[#This Row],[OrderDate]])</f>
        <v>2026</v>
      </c>
      <c r="P210" s="8" t="str">
        <f>TEXT(Table14[[#This Row],[OrderDate]],"mmmm")</f>
        <v>January</v>
      </c>
      <c r="Q210" s="8" t="str">
        <f t="shared" si="9"/>
        <v>Q1</v>
      </c>
      <c r="R210" s="3">
        <f>Table14[[#This Row],[Revenue]]*25%</f>
        <v>2449.8674999999998</v>
      </c>
      <c r="S210" s="3">
        <f t="shared" si="10"/>
        <v>1763.9045999999998</v>
      </c>
      <c r="T210" s="14">
        <f t="shared" si="11"/>
        <v>8035.5653999999995</v>
      </c>
      <c r="U210" s="3" t="str">
        <f t="array" ref="U210">_xlfn.IFS(Table14[[#This Row],[Revenue]]&gt;10000,"High",AND(Table14[[#This Row],[Revenue]]&gt;=5000,Table14[[#This Row],[Revenue]]&lt;=10000),"Medium",Table14[[#This Row],[Revenue]]&lt;5000,"Low")</f>
        <v>Medium</v>
      </c>
      <c r="V210" s="3"/>
    </row>
    <row r="211" spans="1:22" x14ac:dyDescent="0.35">
      <c r="A211" s="8">
        <v>1278</v>
      </c>
      <c r="B211" s="2">
        <v>46036</v>
      </c>
      <c r="C211" t="s">
        <v>27</v>
      </c>
      <c r="D211" t="s">
        <v>31</v>
      </c>
      <c r="E211" t="s">
        <v>119</v>
      </c>
      <c r="F211" t="s">
        <v>33</v>
      </c>
      <c r="G211" t="s">
        <v>61</v>
      </c>
      <c r="H211" s="8">
        <v>4</v>
      </c>
      <c r="I211" s="8">
        <v>209.36</v>
      </c>
      <c r="J211" s="8">
        <v>0</v>
      </c>
      <c r="K211" s="14">
        <v>837.44</v>
      </c>
      <c r="L211" t="s">
        <v>35</v>
      </c>
      <c r="M211" t="s">
        <v>20</v>
      </c>
      <c r="N211" s="14">
        <f>Table14[[#This Row],[Quantity]]*Table14[[#This Row],[UnitPrice]]*(1-Table14[[#This Row],[Discount]])</f>
        <v>837.44</v>
      </c>
      <c r="O211" s="8">
        <f>YEAR(Table14[[#This Row],[OrderDate]])</f>
        <v>2026</v>
      </c>
      <c r="P211" s="8" t="str">
        <f>TEXT(Table14[[#This Row],[OrderDate]],"mmmm")</f>
        <v>January</v>
      </c>
      <c r="Q211" s="8" t="str">
        <f t="shared" si="9"/>
        <v>Q1</v>
      </c>
      <c r="R211" s="3">
        <f>Table14[[#This Row],[Revenue]]*25%</f>
        <v>209.36</v>
      </c>
      <c r="S211" s="3">
        <f t="shared" si="10"/>
        <v>150.73920000000001</v>
      </c>
      <c r="T211" s="14">
        <f t="shared" si="11"/>
        <v>686.70080000000007</v>
      </c>
      <c r="U211" s="3" t="str">
        <f t="array" ref="U211">_xlfn.IFS(Table14[[#This Row],[Revenue]]&gt;10000,"High",AND(Table14[[#This Row],[Revenue]]&gt;=5000,Table14[[#This Row],[Revenue]]&lt;=10000),"Medium",Table14[[#This Row],[Revenue]]&lt;5000,"Low")</f>
        <v>Low</v>
      </c>
      <c r="V211" s="3"/>
    </row>
    <row r="212" spans="1:22" x14ac:dyDescent="0.35">
      <c r="A212" s="8">
        <v>1179</v>
      </c>
      <c r="B212" s="2">
        <v>46038</v>
      </c>
      <c r="C212" t="s">
        <v>21</v>
      </c>
      <c r="D212" t="s">
        <v>22</v>
      </c>
      <c r="E212" t="s">
        <v>115</v>
      </c>
      <c r="F212" t="s">
        <v>17</v>
      </c>
      <c r="G212" t="s">
        <v>46</v>
      </c>
      <c r="H212" s="8">
        <v>13</v>
      </c>
      <c r="I212" s="8">
        <v>337.8</v>
      </c>
      <c r="J212" s="8">
        <v>0.05</v>
      </c>
      <c r="K212" s="14">
        <v>4171.83</v>
      </c>
      <c r="L212" t="s">
        <v>19</v>
      </c>
      <c r="M212" t="s">
        <v>36</v>
      </c>
      <c r="N212" s="14">
        <f>Table14[[#This Row],[Quantity]]*Table14[[#This Row],[UnitPrice]]*(1-Table14[[#This Row],[Discount]])</f>
        <v>4171.83</v>
      </c>
      <c r="O212" s="8">
        <f>YEAR(Table14[[#This Row],[OrderDate]])</f>
        <v>2026</v>
      </c>
      <c r="P212" s="8" t="str">
        <f>TEXT(Table14[[#This Row],[OrderDate]],"mmmm")</f>
        <v>January</v>
      </c>
      <c r="Q212" s="8" t="str">
        <f t="shared" si="9"/>
        <v>Q1</v>
      </c>
      <c r="R212" s="3">
        <f>Table14[[#This Row],[Revenue]]*25%</f>
        <v>1042.9575</v>
      </c>
      <c r="S212" s="3">
        <f t="shared" si="10"/>
        <v>750.92939999999999</v>
      </c>
      <c r="T212" s="14">
        <f t="shared" si="11"/>
        <v>3420.9005999999999</v>
      </c>
      <c r="U212" s="3" t="str">
        <f t="array" ref="U212">_xlfn.IFS(Table14[[#This Row],[Revenue]]&gt;10000,"High",AND(Table14[[#This Row],[Revenue]]&gt;=5000,Table14[[#This Row],[Revenue]]&lt;=10000),"Medium",Table14[[#This Row],[Revenue]]&lt;5000,"Low")</f>
        <v>Low</v>
      </c>
      <c r="V212" s="3"/>
    </row>
    <row r="213" spans="1:22" x14ac:dyDescent="0.35">
      <c r="A213" s="8">
        <v>1192</v>
      </c>
      <c r="B213" s="2">
        <v>46038</v>
      </c>
      <c r="C213" t="s">
        <v>14</v>
      </c>
      <c r="D213" t="s">
        <v>28</v>
      </c>
      <c r="E213" t="s">
        <v>112</v>
      </c>
      <c r="F213" t="s">
        <v>24</v>
      </c>
      <c r="G213" t="s">
        <v>63</v>
      </c>
      <c r="H213" s="8">
        <v>10</v>
      </c>
      <c r="I213" s="8">
        <v>825.57</v>
      </c>
      <c r="J213" s="8">
        <v>0.05</v>
      </c>
      <c r="K213" s="14">
        <v>7842.91</v>
      </c>
      <c r="L213" t="s">
        <v>39</v>
      </c>
      <c r="M213" t="s">
        <v>26</v>
      </c>
      <c r="N213" s="14">
        <f>Table14[[#This Row],[Quantity]]*Table14[[#This Row],[UnitPrice]]*(1-Table14[[#This Row],[Discount]])</f>
        <v>7842.915</v>
      </c>
      <c r="O213" s="8">
        <f>YEAR(Table14[[#This Row],[OrderDate]])</f>
        <v>2026</v>
      </c>
      <c r="P213" s="8" t="str">
        <f>TEXT(Table14[[#This Row],[OrderDate]],"mmmm")</f>
        <v>January</v>
      </c>
      <c r="Q213" s="8" t="str">
        <f t="shared" si="9"/>
        <v>Q1</v>
      </c>
      <c r="R213" s="3">
        <f>Table14[[#This Row],[Revenue]]*25%</f>
        <v>1960.7275</v>
      </c>
      <c r="S213" s="3">
        <f t="shared" si="10"/>
        <v>1411.7238</v>
      </c>
      <c r="T213" s="14">
        <f t="shared" si="11"/>
        <v>6431.1862000000001</v>
      </c>
      <c r="U213" s="3" t="str">
        <f t="array" ref="U213">_xlfn.IFS(Table14[[#This Row],[Revenue]]&gt;10000,"High",AND(Table14[[#This Row],[Revenue]]&gt;=5000,Table14[[#This Row],[Revenue]]&lt;=10000),"Medium",Table14[[#This Row],[Revenue]]&lt;5000,"Low")</f>
        <v>Medium</v>
      </c>
      <c r="V213" s="3"/>
    </row>
    <row r="214" spans="1:22" x14ac:dyDescent="0.35">
      <c r="A214" s="8">
        <v>1150</v>
      </c>
      <c r="B214" s="2">
        <v>46039</v>
      </c>
      <c r="C214" t="s">
        <v>21</v>
      </c>
      <c r="D214" t="s">
        <v>54</v>
      </c>
      <c r="E214" t="s">
        <v>84</v>
      </c>
      <c r="F214" t="s">
        <v>17</v>
      </c>
      <c r="G214" t="s">
        <v>30</v>
      </c>
      <c r="H214" s="8">
        <v>10</v>
      </c>
      <c r="I214" s="8">
        <v>293.95</v>
      </c>
      <c r="J214" s="8">
        <v>0</v>
      </c>
      <c r="K214" s="14">
        <v>2939.5</v>
      </c>
      <c r="L214" t="s">
        <v>19</v>
      </c>
      <c r="M214" t="s">
        <v>26</v>
      </c>
      <c r="N214" s="14">
        <f>Table14[[#This Row],[Quantity]]*Table14[[#This Row],[UnitPrice]]*(1-Table14[[#This Row],[Discount]])</f>
        <v>2939.5</v>
      </c>
      <c r="O214" s="8">
        <f>YEAR(Table14[[#This Row],[OrderDate]])</f>
        <v>2026</v>
      </c>
      <c r="P214" s="8" t="str">
        <f>TEXT(Table14[[#This Row],[OrderDate]],"mmmm")</f>
        <v>January</v>
      </c>
      <c r="Q214" s="8" t="str">
        <f t="shared" si="9"/>
        <v>Q1</v>
      </c>
      <c r="R214" s="3">
        <f>Table14[[#This Row],[Revenue]]*25%</f>
        <v>734.875</v>
      </c>
      <c r="S214" s="3">
        <f t="shared" si="10"/>
        <v>529.11</v>
      </c>
      <c r="T214" s="14">
        <f t="shared" si="11"/>
        <v>2410.39</v>
      </c>
      <c r="U214" s="3" t="str">
        <f t="array" ref="U214">_xlfn.IFS(Table14[[#This Row],[Revenue]]&gt;10000,"High",AND(Table14[[#This Row],[Revenue]]&gt;=5000,Table14[[#This Row],[Revenue]]&lt;=10000),"Medium",Table14[[#This Row],[Revenue]]&lt;5000,"Low")</f>
        <v>Low</v>
      </c>
      <c r="V214" s="3"/>
    </row>
    <row r="215" spans="1:22" x14ac:dyDescent="0.35">
      <c r="A215" s="8">
        <v>1213</v>
      </c>
      <c r="B215" s="2">
        <v>46049</v>
      </c>
      <c r="C215" t="s">
        <v>14</v>
      </c>
      <c r="D215" t="s">
        <v>31</v>
      </c>
      <c r="E215" t="s">
        <v>115</v>
      </c>
      <c r="F215" t="s">
        <v>24</v>
      </c>
      <c r="G215" t="s">
        <v>38</v>
      </c>
      <c r="H215" s="8">
        <v>11</v>
      </c>
      <c r="I215" s="8">
        <v>920.43</v>
      </c>
      <c r="J215" s="8">
        <v>0.15</v>
      </c>
      <c r="K215" s="14">
        <v>8606.02</v>
      </c>
      <c r="L215" t="s">
        <v>19</v>
      </c>
      <c r="M215" t="s">
        <v>26</v>
      </c>
      <c r="N215" s="14">
        <f>Table14[[#This Row],[Quantity]]*Table14[[#This Row],[UnitPrice]]*(1-Table14[[#This Row],[Discount]])</f>
        <v>8606.0204999999987</v>
      </c>
      <c r="O215" s="8">
        <f>YEAR(Table14[[#This Row],[OrderDate]])</f>
        <v>2026</v>
      </c>
      <c r="P215" s="8" t="str">
        <f>TEXT(Table14[[#This Row],[OrderDate]],"mmmm")</f>
        <v>January</v>
      </c>
      <c r="Q215" s="8" t="str">
        <f t="shared" si="9"/>
        <v>Q1</v>
      </c>
      <c r="R215" s="3">
        <f>Table14[[#This Row],[Revenue]]*25%</f>
        <v>2151.5050000000001</v>
      </c>
      <c r="S215" s="3">
        <f t="shared" si="10"/>
        <v>1549.0835999999999</v>
      </c>
      <c r="T215" s="14">
        <f t="shared" si="11"/>
        <v>7056.9364000000005</v>
      </c>
      <c r="U215" s="3" t="str">
        <f t="array" ref="U215">_xlfn.IFS(Table14[[#This Row],[Revenue]]&gt;10000,"High",AND(Table14[[#This Row],[Revenue]]&gt;=5000,Table14[[#This Row],[Revenue]]&lt;=10000),"Medium",Table14[[#This Row],[Revenue]]&lt;5000,"Low")</f>
        <v>Medium</v>
      </c>
      <c r="V215" s="3"/>
    </row>
    <row r="216" spans="1:22" x14ac:dyDescent="0.35">
      <c r="A216" s="8">
        <v>1016</v>
      </c>
      <c r="B216" s="2">
        <v>46050</v>
      </c>
      <c r="C216" t="s">
        <v>21</v>
      </c>
      <c r="D216" t="s">
        <v>31</v>
      </c>
      <c r="E216" t="s">
        <v>67</v>
      </c>
      <c r="F216" t="s">
        <v>33</v>
      </c>
      <c r="G216" t="s">
        <v>61</v>
      </c>
      <c r="H216" s="8">
        <v>15</v>
      </c>
      <c r="I216" s="8">
        <v>1045.4100000000001</v>
      </c>
      <c r="J216" s="8">
        <v>0</v>
      </c>
      <c r="K216" s="14">
        <v>15681.15</v>
      </c>
      <c r="L216" t="s">
        <v>19</v>
      </c>
      <c r="M216" t="s">
        <v>26</v>
      </c>
      <c r="N216" s="14">
        <f>Table14[[#This Row],[Quantity]]*Table14[[#This Row],[UnitPrice]]*(1-Table14[[#This Row],[Discount]])</f>
        <v>15681.150000000001</v>
      </c>
      <c r="O216" s="8">
        <f>YEAR(Table14[[#This Row],[OrderDate]])</f>
        <v>2026</v>
      </c>
      <c r="P216" s="8" t="str">
        <f>TEXT(Table14[[#This Row],[OrderDate]],"mmmm")</f>
        <v>January</v>
      </c>
      <c r="Q216" s="8" t="str">
        <f t="shared" si="9"/>
        <v>Q1</v>
      </c>
      <c r="R216" s="3">
        <f>Table14[[#This Row],[Revenue]]*25%</f>
        <v>3920.2874999999999</v>
      </c>
      <c r="S216" s="3">
        <f t="shared" si="10"/>
        <v>2822.607</v>
      </c>
      <c r="T216" s="14">
        <f t="shared" si="11"/>
        <v>12858.543</v>
      </c>
      <c r="U216" s="3" t="str">
        <f t="array" ref="U216">_xlfn.IFS(Table14[[#This Row],[Revenue]]&gt;10000,"High",AND(Table14[[#This Row],[Revenue]]&gt;=5000,Table14[[#This Row],[Revenue]]&lt;=10000),"Medium",Table14[[#This Row],[Revenue]]&lt;5000,"Low")</f>
        <v>High</v>
      </c>
      <c r="V216" s="3"/>
    </row>
    <row r="217" spans="1:22" x14ac:dyDescent="0.35">
      <c r="A217" s="8">
        <v>1211</v>
      </c>
      <c r="B217" s="2">
        <v>46053</v>
      </c>
      <c r="C217" t="s">
        <v>27</v>
      </c>
      <c r="D217" t="s">
        <v>54</v>
      </c>
      <c r="E217" t="s">
        <v>67</v>
      </c>
      <c r="F217" t="s">
        <v>17</v>
      </c>
      <c r="G217" t="s">
        <v>46</v>
      </c>
      <c r="H217" s="8">
        <v>11</v>
      </c>
      <c r="I217" s="8">
        <v>1008.74</v>
      </c>
      <c r="J217" s="8">
        <v>0.05</v>
      </c>
      <c r="K217" s="14">
        <v>10541.33</v>
      </c>
      <c r="L217" t="s">
        <v>35</v>
      </c>
      <c r="M217" t="s">
        <v>36</v>
      </c>
      <c r="N217" s="14">
        <f>Table14[[#This Row],[Quantity]]*Table14[[#This Row],[UnitPrice]]*(1-Table14[[#This Row],[Discount]])</f>
        <v>10541.332999999999</v>
      </c>
      <c r="O217" s="8">
        <f>YEAR(Table14[[#This Row],[OrderDate]])</f>
        <v>2026</v>
      </c>
      <c r="P217" s="8" t="str">
        <f>TEXT(Table14[[#This Row],[OrderDate]],"mmmm")</f>
        <v>January</v>
      </c>
      <c r="Q217" s="8" t="str">
        <f t="shared" si="9"/>
        <v>Q1</v>
      </c>
      <c r="R217" s="3">
        <f>Table14[[#This Row],[Revenue]]*25%</f>
        <v>2635.3325</v>
      </c>
      <c r="S217" s="3">
        <f t="shared" si="10"/>
        <v>1897.4394</v>
      </c>
      <c r="T217" s="14">
        <f t="shared" si="11"/>
        <v>8643.8906000000006</v>
      </c>
      <c r="U217" s="3" t="str">
        <f t="array" ref="U217">_xlfn.IFS(Table14[[#This Row],[Revenue]]&gt;10000,"High",AND(Table14[[#This Row],[Revenue]]&gt;=5000,Table14[[#This Row],[Revenue]]&lt;=10000),"Medium",Table14[[#This Row],[Revenue]]&lt;5000,"Low")</f>
        <v>High</v>
      </c>
      <c r="V217" s="3"/>
    </row>
    <row r="218" spans="1:22" x14ac:dyDescent="0.35">
      <c r="A218" s="8">
        <v>1283</v>
      </c>
      <c r="B218" s="2">
        <v>46053</v>
      </c>
      <c r="C218" t="s">
        <v>27</v>
      </c>
      <c r="D218" t="s">
        <v>54</v>
      </c>
      <c r="E218" t="s">
        <v>49</v>
      </c>
      <c r="F218" t="s">
        <v>17</v>
      </c>
      <c r="G218" t="s">
        <v>46</v>
      </c>
      <c r="H218" s="8">
        <v>1</v>
      </c>
      <c r="I218" s="8">
        <v>1110.3699999999999</v>
      </c>
      <c r="J218" s="8">
        <v>0.1</v>
      </c>
      <c r="K218" s="14">
        <v>999.33</v>
      </c>
      <c r="L218" t="s">
        <v>39</v>
      </c>
      <c r="M218" t="s">
        <v>36</v>
      </c>
      <c r="N218" s="14">
        <f>Table14[[#This Row],[Quantity]]*Table14[[#This Row],[UnitPrice]]*(1-Table14[[#This Row],[Discount]])</f>
        <v>999.33299999999997</v>
      </c>
      <c r="O218" s="8">
        <f>YEAR(Table14[[#This Row],[OrderDate]])</f>
        <v>2026</v>
      </c>
      <c r="P218" s="8" t="str">
        <f>TEXT(Table14[[#This Row],[OrderDate]],"mmmm")</f>
        <v>January</v>
      </c>
      <c r="Q218" s="8" t="str">
        <f t="shared" si="9"/>
        <v>Q1</v>
      </c>
      <c r="R218" s="3">
        <f>Table14[[#This Row],[Revenue]]*25%</f>
        <v>249.83250000000001</v>
      </c>
      <c r="S218" s="3">
        <f t="shared" si="10"/>
        <v>179.8794</v>
      </c>
      <c r="T218" s="14">
        <f t="shared" si="11"/>
        <v>819.45060000000001</v>
      </c>
      <c r="U218" s="3" t="str">
        <f t="array" ref="U218">_xlfn.IFS(Table14[[#This Row],[Revenue]]&gt;10000,"High",AND(Table14[[#This Row],[Revenue]]&gt;=5000,Table14[[#This Row],[Revenue]]&lt;=10000),"Medium",Table14[[#This Row],[Revenue]]&lt;5000,"Low")</f>
        <v>Low</v>
      </c>
      <c r="V218" s="3"/>
    </row>
    <row r="219" spans="1:22" x14ac:dyDescent="0.35">
      <c r="A219" s="8">
        <v>1165</v>
      </c>
      <c r="B219" s="2">
        <v>46058</v>
      </c>
      <c r="C219" t="s">
        <v>21</v>
      </c>
      <c r="D219" t="s">
        <v>47</v>
      </c>
      <c r="E219" t="s">
        <v>111</v>
      </c>
      <c r="F219" t="s">
        <v>17</v>
      </c>
      <c r="G219" t="s">
        <v>18</v>
      </c>
      <c r="H219" s="8">
        <v>2</v>
      </c>
      <c r="I219" s="8">
        <v>436.09</v>
      </c>
      <c r="J219" s="8">
        <v>0.15</v>
      </c>
      <c r="K219" s="14">
        <v>741.35</v>
      </c>
      <c r="L219" t="s">
        <v>19</v>
      </c>
      <c r="M219" t="s">
        <v>26</v>
      </c>
      <c r="N219" s="14">
        <f>Table14[[#This Row],[Quantity]]*Table14[[#This Row],[UnitPrice]]*(1-Table14[[#This Row],[Discount]])</f>
        <v>741.35299999999995</v>
      </c>
      <c r="O219" s="8">
        <f>YEAR(Table14[[#This Row],[OrderDate]])</f>
        <v>2026</v>
      </c>
      <c r="P219" s="8" t="str">
        <f>TEXT(Table14[[#This Row],[OrderDate]],"mmmm")</f>
        <v>February</v>
      </c>
      <c r="Q219" s="8" t="str">
        <f t="shared" si="9"/>
        <v>Q1</v>
      </c>
      <c r="R219" s="3">
        <f>Table14[[#This Row],[Revenue]]*25%</f>
        <v>185.33750000000001</v>
      </c>
      <c r="S219" s="3">
        <f t="shared" si="10"/>
        <v>133.44300000000001</v>
      </c>
      <c r="T219" s="14">
        <f t="shared" si="11"/>
        <v>607.90700000000004</v>
      </c>
      <c r="U219" s="3" t="str">
        <f t="array" ref="U219">_xlfn.IFS(Table14[[#This Row],[Revenue]]&gt;10000,"High",AND(Table14[[#This Row],[Revenue]]&gt;=5000,Table14[[#This Row],[Revenue]]&lt;=10000),"Medium",Table14[[#This Row],[Revenue]]&lt;5000,"Low")</f>
        <v>Low</v>
      </c>
      <c r="V219" s="3"/>
    </row>
    <row r="220" spans="1:22" x14ac:dyDescent="0.35">
      <c r="A220" s="8">
        <v>1011</v>
      </c>
      <c r="B220" s="2">
        <v>46059</v>
      </c>
      <c r="C220" t="s">
        <v>14</v>
      </c>
      <c r="D220" t="s">
        <v>47</v>
      </c>
      <c r="E220" t="s">
        <v>74</v>
      </c>
      <c r="F220" t="s">
        <v>24</v>
      </c>
      <c r="G220" t="s">
        <v>63</v>
      </c>
      <c r="H220" s="8">
        <v>7</v>
      </c>
      <c r="I220" s="8">
        <v>676</v>
      </c>
      <c r="J220" s="8">
        <v>0.05</v>
      </c>
      <c r="K220" s="14">
        <v>4495.3999999999996</v>
      </c>
      <c r="L220" t="s">
        <v>19</v>
      </c>
      <c r="M220" t="s">
        <v>36</v>
      </c>
      <c r="N220" s="14">
        <f>Table14[[#This Row],[Quantity]]*Table14[[#This Row],[UnitPrice]]*(1-Table14[[#This Row],[Discount]])</f>
        <v>4495.3999999999996</v>
      </c>
      <c r="O220" s="8">
        <f>YEAR(Table14[[#This Row],[OrderDate]])</f>
        <v>2026</v>
      </c>
      <c r="P220" s="8" t="str">
        <f>TEXT(Table14[[#This Row],[OrderDate]],"mmmm")</f>
        <v>February</v>
      </c>
      <c r="Q220" s="8" t="str">
        <f t="shared" si="9"/>
        <v>Q1</v>
      </c>
      <c r="R220" s="3">
        <f>Table14[[#This Row],[Revenue]]*25%</f>
        <v>1123.8499999999999</v>
      </c>
      <c r="S220" s="3">
        <f t="shared" si="10"/>
        <v>809.17199999999991</v>
      </c>
      <c r="T220" s="14">
        <f t="shared" si="11"/>
        <v>3686.2279999999996</v>
      </c>
      <c r="U220" s="3" t="str">
        <f t="array" ref="U220">_xlfn.IFS(Table14[[#This Row],[Revenue]]&gt;10000,"High",AND(Table14[[#This Row],[Revenue]]&gt;=5000,Table14[[#This Row],[Revenue]]&lt;=10000),"Medium",Table14[[#This Row],[Revenue]]&lt;5000,"Low")</f>
        <v>Low</v>
      </c>
      <c r="V220" s="3"/>
    </row>
    <row r="221" spans="1:22" x14ac:dyDescent="0.35">
      <c r="A221" s="8">
        <v>1162</v>
      </c>
      <c r="B221" s="2">
        <v>46060</v>
      </c>
      <c r="C221" t="s">
        <v>14</v>
      </c>
      <c r="D221" t="s">
        <v>54</v>
      </c>
      <c r="E221" t="s">
        <v>48</v>
      </c>
      <c r="F221" t="s">
        <v>33</v>
      </c>
      <c r="G221" t="s">
        <v>61</v>
      </c>
      <c r="H221" s="8">
        <v>9</v>
      </c>
      <c r="I221" s="8">
        <v>912.23</v>
      </c>
      <c r="J221" s="8">
        <v>0.15</v>
      </c>
      <c r="K221" s="14">
        <v>6978.56</v>
      </c>
      <c r="L221" t="s">
        <v>39</v>
      </c>
      <c r="M221" t="s">
        <v>20</v>
      </c>
      <c r="N221" s="14">
        <f>Table14[[#This Row],[Quantity]]*Table14[[#This Row],[UnitPrice]]*(1-Table14[[#This Row],[Discount]])</f>
        <v>6978.5594999999994</v>
      </c>
      <c r="O221" s="8">
        <f>YEAR(Table14[[#This Row],[OrderDate]])</f>
        <v>2026</v>
      </c>
      <c r="P221" s="8" t="str">
        <f>TEXT(Table14[[#This Row],[OrderDate]],"mmmm")</f>
        <v>February</v>
      </c>
      <c r="Q221" s="8" t="str">
        <f t="shared" si="9"/>
        <v>Q1</v>
      </c>
      <c r="R221" s="3">
        <f>Table14[[#This Row],[Revenue]]*25%</f>
        <v>1744.64</v>
      </c>
      <c r="S221" s="3">
        <f t="shared" si="10"/>
        <v>1256.1408000000001</v>
      </c>
      <c r="T221" s="14">
        <f t="shared" si="11"/>
        <v>5722.4192000000003</v>
      </c>
      <c r="U221" s="3" t="str">
        <f t="array" ref="U221">_xlfn.IFS(Table14[[#This Row],[Revenue]]&gt;10000,"High",AND(Table14[[#This Row],[Revenue]]&gt;=5000,Table14[[#This Row],[Revenue]]&lt;=10000),"Medium",Table14[[#This Row],[Revenue]]&lt;5000,"Low")</f>
        <v>Medium</v>
      </c>
      <c r="V221" s="3"/>
    </row>
    <row r="222" spans="1:22" x14ac:dyDescent="0.35">
      <c r="A222" s="8">
        <v>1079</v>
      </c>
      <c r="B222" s="2">
        <v>46061</v>
      </c>
      <c r="C222" t="s">
        <v>21</v>
      </c>
      <c r="D222" t="s">
        <v>47</v>
      </c>
      <c r="E222" t="s">
        <v>120</v>
      </c>
      <c r="F222" t="s">
        <v>33</v>
      </c>
      <c r="G222" t="s">
        <v>34</v>
      </c>
      <c r="H222" s="8">
        <v>2</v>
      </c>
      <c r="I222" s="8">
        <v>602.16</v>
      </c>
      <c r="J222" s="8">
        <v>0.1</v>
      </c>
      <c r="K222" s="14">
        <v>1083.8900000000001</v>
      </c>
      <c r="L222" t="s">
        <v>39</v>
      </c>
      <c r="M222" t="s">
        <v>20</v>
      </c>
      <c r="N222" s="14">
        <f>Table14[[#This Row],[Quantity]]*Table14[[#This Row],[UnitPrice]]*(1-Table14[[#This Row],[Discount]])</f>
        <v>1083.8879999999999</v>
      </c>
      <c r="O222" s="8">
        <f>YEAR(Table14[[#This Row],[OrderDate]])</f>
        <v>2026</v>
      </c>
      <c r="P222" s="8" t="str">
        <f>TEXT(Table14[[#This Row],[OrderDate]],"mmmm")</f>
        <v>February</v>
      </c>
      <c r="Q222" s="8" t="str">
        <f t="shared" si="9"/>
        <v>Q1</v>
      </c>
      <c r="R222" s="3">
        <f>Table14[[#This Row],[Revenue]]*25%</f>
        <v>270.97250000000003</v>
      </c>
      <c r="S222" s="3">
        <f t="shared" si="10"/>
        <v>195.1002</v>
      </c>
      <c r="T222" s="14">
        <f t="shared" si="11"/>
        <v>888.78980000000013</v>
      </c>
      <c r="U222" s="3" t="str">
        <f t="array" ref="U222">_xlfn.IFS(Table14[[#This Row],[Revenue]]&gt;10000,"High",AND(Table14[[#This Row],[Revenue]]&gt;=5000,Table14[[#This Row],[Revenue]]&lt;=10000),"Medium",Table14[[#This Row],[Revenue]]&lt;5000,"Low")</f>
        <v>Low</v>
      </c>
      <c r="V222" s="3"/>
    </row>
    <row r="223" spans="1:22" x14ac:dyDescent="0.35">
      <c r="A223" s="8">
        <v>1196</v>
      </c>
      <c r="B223" s="2">
        <v>46064</v>
      </c>
      <c r="C223" t="s">
        <v>21</v>
      </c>
      <c r="D223" t="s">
        <v>28</v>
      </c>
      <c r="E223" t="s">
        <v>55</v>
      </c>
      <c r="F223" t="s">
        <v>33</v>
      </c>
      <c r="G223" t="s">
        <v>61</v>
      </c>
      <c r="H223" s="8">
        <v>13</v>
      </c>
      <c r="I223" s="8">
        <v>726.17</v>
      </c>
      <c r="J223" s="8">
        <v>0</v>
      </c>
      <c r="K223" s="14">
        <v>9440.2099999999991</v>
      </c>
      <c r="L223" t="s">
        <v>35</v>
      </c>
      <c r="M223" t="s">
        <v>26</v>
      </c>
      <c r="N223" s="14">
        <f>Table14[[#This Row],[Quantity]]*Table14[[#This Row],[UnitPrice]]*(1-Table14[[#This Row],[Discount]])</f>
        <v>9440.2099999999991</v>
      </c>
      <c r="O223" s="8">
        <f>YEAR(Table14[[#This Row],[OrderDate]])</f>
        <v>2026</v>
      </c>
      <c r="P223" s="8" t="str">
        <f>TEXT(Table14[[#This Row],[OrderDate]],"mmmm")</f>
        <v>February</v>
      </c>
      <c r="Q223" s="8" t="str">
        <f t="shared" si="9"/>
        <v>Q1</v>
      </c>
      <c r="R223" s="3">
        <f>Table14[[#This Row],[Revenue]]*25%</f>
        <v>2360.0524999999998</v>
      </c>
      <c r="S223" s="3">
        <f t="shared" si="10"/>
        <v>1699.2377999999999</v>
      </c>
      <c r="T223" s="14">
        <f t="shared" si="11"/>
        <v>7740.9721999999992</v>
      </c>
      <c r="U223" s="3" t="str">
        <f t="array" ref="U223">_xlfn.IFS(Table14[[#This Row],[Revenue]]&gt;10000,"High",AND(Table14[[#This Row],[Revenue]]&gt;=5000,Table14[[#This Row],[Revenue]]&lt;=10000),"Medium",Table14[[#This Row],[Revenue]]&lt;5000,"Low")</f>
        <v>Medium</v>
      </c>
      <c r="V223" s="3"/>
    </row>
    <row r="224" spans="1:22" x14ac:dyDescent="0.35">
      <c r="A224" s="8">
        <v>1127</v>
      </c>
      <c r="B224" s="2">
        <v>46065</v>
      </c>
      <c r="C224" t="s">
        <v>21</v>
      </c>
      <c r="D224" t="s">
        <v>54</v>
      </c>
      <c r="E224" t="s">
        <v>82</v>
      </c>
      <c r="F224" t="s">
        <v>33</v>
      </c>
      <c r="G224" t="s">
        <v>61</v>
      </c>
      <c r="H224" s="8">
        <v>10</v>
      </c>
      <c r="I224" s="8">
        <v>256.5</v>
      </c>
      <c r="J224" s="8">
        <v>0.15</v>
      </c>
      <c r="K224" s="14">
        <v>2180.25</v>
      </c>
      <c r="L224" t="s">
        <v>35</v>
      </c>
      <c r="M224" t="s">
        <v>20</v>
      </c>
      <c r="N224" s="14">
        <f>Table14[[#This Row],[Quantity]]*Table14[[#This Row],[UnitPrice]]*(1-Table14[[#This Row],[Discount]])</f>
        <v>2180.25</v>
      </c>
      <c r="O224" s="8">
        <f>YEAR(Table14[[#This Row],[OrderDate]])</f>
        <v>2026</v>
      </c>
      <c r="P224" s="8" t="str">
        <f>TEXT(Table14[[#This Row],[OrderDate]],"mmmm")</f>
        <v>February</v>
      </c>
      <c r="Q224" s="8" t="str">
        <f t="shared" si="9"/>
        <v>Q1</v>
      </c>
      <c r="R224" s="3">
        <f>Table14[[#This Row],[Revenue]]*25%</f>
        <v>545.0625</v>
      </c>
      <c r="S224" s="3">
        <f t="shared" si="10"/>
        <v>392.44499999999999</v>
      </c>
      <c r="T224" s="14">
        <f t="shared" si="11"/>
        <v>1787.8050000000001</v>
      </c>
      <c r="U224" s="3" t="str">
        <f t="array" ref="U224">_xlfn.IFS(Table14[[#This Row],[Revenue]]&gt;10000,"High",AND(Table14[[#This Row],[Revenue]]&gt;=5000,Table14[[#This Row],[Revenue]]&lt;=10000),"Medium",Table14[[#This Row],[Revenue]]&lt;5000,"Low")</f>
        <v>Low</v>
      </c>
      <c r="V224" s="3"/>
    </row>
    <row r="225" spans="1:22" x14ac:dyDescent="0.35">
      <c r="A225" s="8">
        <v>1248</v>
      </c>
      <c r="B225" s="2">
        <v>46066</v>
      </c>
      <c r="C225" t="s">
        <v>21</v>
      </c>
      <c r="D225" t="s">
        <v>28</v>
      </c>
      <c r="E225" t="s">
        <v>88</v>
      </c>
      <c r="F225" t="s">
        <v>33</v>
      </c>
      <c r="G225" t="s">
        <v>53</v>
      </c>
      <c r="H225" s="8">
        <v>10</v>
      </c>
      <c r="I225" s="8">
        <v>338.87</v>
      </c>
      <c r="J225" s="8">
        <v>0</v>
      </c>
      <c r="K225" s="14">
        <v>3388.7</v>
      </c>
      <c r="L225" t="s">
        <v>35</v>
      </c>
      <c r="M225" t="s">
        <v>26</v>
      </c>
      <c r="N225" s="14">
        <f>Table14[[#This Row],[Quantity]]*Table14[[#This Row],[UnitPrice]]*(1-Table14[[#This Row],[Discount]])</f>
        <v>3388.7</v>
      </c>
      <c r="O225" s="8">
        <f>YEAR(Table14[[#This Row],[OrderDate]])</f>
        <v>2026</v>
      </c>
      <c r="P225" s="8" t="str">
        <f>TEXT(Table14[[#This Row],[OrderDate]],"mmmm")</f>
        <v>February</v>
      </c>
      <c r="Q225" s="8" t="str">
        <f t="shared" si="9"/>
        <v>Q1</v>
      </c>
      <c r="R225" s="3">
        <f>Table14[[#This Row],[Revenue]]*25%</f>
        <v>847.17499999999995</v>
      </c>
      <c r="S225" s="3">
        <f t="shared" si="10"/>
        <v>609.96599999999989</v>
      </c>
      <c r="T225" s="14">
        <f t="shared" si="11"/>
        <v>2778.7339999999999</v>
      </c>
      <c r="U225" s="3" t="str">
        <f t="array" ref="U225">_xlfn.IFS(Table14[[#This Row],[Revenue]]&gt;10000,"High",AND(Table14[[#This Row],[Revenue]]&gt;=5000,Table14[[#This Row],[Revenue]]&lt;=10000),"Medium",Table14[[#This Row],[Revenue]]&lt;5000,"Low")</f>
        <v>Low</v>
      </c>
      <c r="V225" s="3"/>
    </row>
    <row r="226" spans="1:22" x14ac:dyDescent="0.35">
      <c r="A226" s="8">
        <v>1103</v>
      </c>
      <c r="B226" s="2">
        <v>46070</v>
      </c>
      <c r="C226" t="s">
        <v>43</v>
      </c>
      <c r="D226" t="s">
        <v>28</v>
      </c>
      <c r="E226" t="s">
        <v>62</v>
      </c>
      <c r="F226" t="s">
        <v>33</v>
      </c>
      <c r="G226" t="s">
        <v>61</v>
      </c>
      <c r="H226" s="8">
        <v>11</v>
      </c>
      <c r="I226" s="8">
        <v>414.53</v>
      </c>
      <c r="J226" s="8">
        <v>0.1</v>
      </c>
      <c r="K226" s="14">
        <v>4103.8500000000004</v>
      </c>
      <c r="L226" t="s">
        <v>19</v>
      </c>
      <c r="M226" t="s">
        <v>26</v>
      </c>
      <c r="N226" s="14">
        <f>Table14[[#This Row],[Quantity]]*Table14[[#This Row],[UnitPrice]]*(1-Table14[[#This Row],[Discount]])</f>
        <v>4103.8469999999998</v>
      </c>
      <c r="O226" s="8">
        <f>YEAR(Table14[[#This Row],[OrderDate]])</f>
        <v>2026</v>
      </c>
      <c r="P226" s="8" t="str">
        <f>TEXT(Table14[[#This Row],[OrderDate]],"mmmm")</f>
        <v>February</v>
      </c>
      <c r="Q226" s="8" t="str">
        <f t="shared" si="9"/>
        <v>Q1</v>
      </c>
      <c r="R226" s="3">
        <f>Table14[[#This Row],[Revenue]]*25%</f>
        <v>1025.9625000000001</v>
      </c>
      <c r="S226" s="3">
        <f t="shared" si="10"/>
        <v>738.69299999999998</v>
      </c>
      <c r="T226" s="14">
        <f t="shared" si="11"/>
        <v>3365.1570000000002</v>
      </c>
      <c r="U226" s="3" t="str">
        <f t="array" ref="U226">_xlfn.IFS(Table14[[#This Row],[Revenue]]&gt;10000,"High",AND(Table14[[#This Row],[Revenue]]&gt;=5000,Table14[[#This Row],[Revenue]]&lt;=10000),"Medium",Table14[[#This Row],[Revenue]]&lt;5000,"Low")</f>
        <v>Low</v>
      </c>
      <c r="V226" s="3"/>
    </row>
    <row r="227" spans="1:22" x14ac:dyDescent="0.35">
      <c r="A227" s="8">
        <v>1175</v>
      </c>
      <c r="B227" s="2">
        <v>46071</v>
      </c>
      <c r="C227" t="s">
        <v>14</v>
      </c>
      <c r="D227" t="s">
        <v>28</v>
      </c>
      <c r="E227" t="s">
        <v>48</v>
      </c>
      <c r="F227" t="s">
        <v>24</v>
      </c>
      <c r="G227" t="s">
        <v>63</v>
      </c>
      <c r="H227" s="8">
        <v>3</v>
      </c>
      <c r="I227" s="8">
        <v>121.71</v>
      </c>
      <c r="J227" s="8">
        <v>0.15</v>
      </c>
      <c r="K227" s="14">
        <v>310.36</v>
      </c>
      <c r="L227" t="s">
        <v>19</v>
      </c>
      <c r="M227" t="s">
        <v>26</v>
      </c>
      <c r="N227" s="14">
        <f>Table14[[#This Row],[Quantity]]*Table14[[#This Row],[UnitPrice]]*(1-Table14[[#This Row],[Discount]])</f>
        <v>310.3605</v>
      </c>
      <c r="O227" s="8">
        <f>YEAR(Table14[[#This Row],[OrderDate]])</f>
        <v>2026</v>
      </c>
      <c r="P227" s="8" t="str">
        <f>TEXT(Table14[[#This Row],[OrderDate]],"mmmm")</f>
        <v>February</v>
      </c>
      <c r="Q227" s="8" t="str">
        <f t="shared" si="9"/>
        <v>Q1</v>
      </c>
      <c r="R227" s="3">
        <f>Table14[[#This Row],[Revenue]]*25%</f>
        <v>77.59</v>
      </c>
      <c r="S227" s="3">
        <f t="shared" si="10"/>
        <v>55.864800000000002</v>
      </c>
      <c r="T227" s="14">
        <f t="shared" si="11"/>
        <v>254.49520000000001</v>
      </c>
      <c r="U227" s="3" t="str">
        <f t="array" ref="U227">_xlfn.IFS(Table14[[#This Row],[Revenue]]&gt;10000,"High",AND(Table14[[#This Row],[Revenue]]&gt;=5000,Table14[[#This Row],[Revenue]]&lt;=10000),"Medium",Table14[[#This Row],[Revenue]]&lt;5000,"Low")</f>
        <v>Low</v>
      </c>
      <c r="V227" s="3"/>
    </row>
    <row r="228" spans="1:22" x14ac:dyDescent="0.35">
      <c r="A228" s="8">
        <v>1227</v>
      </c>
      <c r="B228" s="2">
        <v>46072</v>
      </c>
      <c r="C228" t="s">
        <v>14</v>
      </c>
      <c r="D228" t="s">
        <v>22</v>
      </c>
      <c r="E228" t="s">
        <v>97</v>
      </c>
      <c r="F228" t="s">
        <v>17</v>
      </c>
      <c r="G228" t="s">
        <v>18</v>
      </c>
      <c r="H228" s="8">
        <v>10</v>
      </c>
      <c r="I228" s="8">
        <v>236.9</v>
      </c>
      <c r="J228" s="8">
        <v>0</v>
      </c>
      <c r="K228" s="14">
        <v>2369</v>
      </c>
      <c r="L228" t="s">
        <v>39</v>
      </c>
      <c r="M228" t="s">
        <v>20</v>
      </c>
      <c r="N228" s="14">
        <f>Table14[[#This Row],[Quantity]]*Table14[[#This Row],[UnitPrice]]*(1-Table14[[#This Row],[Discount]])</f>
        <v>2369</v>
      </c>
      <c r="O228" s="8">
        <f>YEAR(Table14[[#This Row],[OrderDate]])</f>
        <v>2026</v>
      </c>
      <c r="P228" s="8" t="str">
        <f>TEXT(Table14[[#This Row],[OrderDate]],"mmmm")</f>
        <v>February</v>
      </c>
      <c r="Q228" s="8" t="str">
        <f t="shared" si="9"/>
        <v>Q1</v>
      </c>
      <c r="R228" s="3">
        <f>Table14[[#This Row],[Revenue]]*25%</f>
        <v>592.25</v>
      </c>
      <c r="S228" s="3">
        <f t="shared" si="10"/>
        <v>426.41999999999996</v>
      </c>
      <c r="T228" s="14">
        <f t="shared" si="11"/>
        <v>1942.58</v>
      </c>
      <c r="U228" s="3" t="str">
        <f t="array" ref="U228">_xlfn.IFS(Table14[[#This Row],[Revenue]]&gt;10000,"High",AND(Table14[[#This Row],[Revenue]]&gt;=5000,Table14[[#This Row],[Revenue]]&lt;=10000),"Medium",Table14[[#This Row],[Revenue]]&lt;5000,"Low")</f>
        <v>Low</v>
      </c>
      <c r="V228" s="3"/>
    </row>
    <row r="229" spans="1:22" x14ac:dyDescent="0.35">
      <c r="A229" s="8">
        <v>1166</v>
      </c>
      <c r="B229" s="2">
        <v>46074</v>
      </c>
      <c r="C229" t="s">
        <v>21</v>
      </c>
      <c r="D229" t="s">
        <v>47</v>
      </c>
      <c r="E229" t="s">
        <v>113</v>
      </c>
      <c r="F229" t="s">
        <v>24</v>
      </c>
      <c r="G229" t="s">
        <v>63</v>
      </c>
      <c r="H229" s="8">
        <v>4</v>
      </c>
      <c r="I229" s="8">
        <v>357.46</v>
      </c>
      <c r="J229" s="8">
        <v>0</v>
      </c>
      <c r="K229" s="14">
        <v>1429.84</v>
      </c>
      <c r="L229" t="s">
        <v>39</v>
      </c>
      <c r="M229" t="s">
        <v>20</v>
      </c>
      <c r="N229" s="14">
        <f>Table14[[#This Row],[Quantity]]*Table14[[#This Row],[UnitPrice]]*(1-Table14[[#This Row],[Discount]])</f>
        <v>1429.84</v>
      </c>
      <c r="O229" s="8">
        <f>YEAR(Table14[[#This Row],[OrderDate]])</f>
        <v>2026</v>
      </c>
      <c r="P229" s="8" t="str">
        <f>TEXT(Table14[[#This Row],[OrderDate]],"mmmm")</f>
        <v>February</v>
      </c>
      <c r="Q229" s="8" t="str">
        <f t="shared" si="9"/>
        <v>Q1</v>
      </c>
      <c r="R229" s="3">
        <f>Table14[[#This Row],[Revenue]]*25%</f>
        <v>357.46</v>
      </c>
      <c r="S229" s="3">
        <f t="shared" si="10"/>
        <v>257.37119999999999</v>
      </c>
      <c r="T229" s="14">
        <f t="shared" si="11"/>
        <v>1172.4687999999999</v>
      </c>
      <c r="U229" s="3" t="str">
        <f t="array" ref="U229">_xlfn.IFS(Table14[[#This Row],[Revenue]]&gt;10000,"High",AND(Table14[[#This Row],[Revenue]]&gt;=5000,Table14[[#This Row],[Revenue]]&lt;=10000),"Medium",Table14[[#This Row],[Revenue]]&lt;5000,"Low")</f>
        <v>Low</v>
      </c>
      <c r="V229" s="3"/>
    </row>
    <row r="230" spans="1:22" x14ac:dyDescent="0.35">
      <c r="A230" s="8">
        <v>1084</v>
      </c>
      <c r="B230" s="2">
        <v>46075</v>
      </c>
      <c r="C230" t="s">
        <v>27</v>
      </c>
      <c r="D230" t="s">
        <v>28</v>
      </c>
      <c r="E230" t="s">
        <v>84</v>
      </c>
      <c r="F230" t="s">
        <v>17</v>
      </c>
      <c r="G230" t="s">
        <v>30</v>
      </c>
      <c r="H230" s="8">
        <v>4</v>
      </c>
      <c r="I230" s="8">
        <v>1025.3</v>
      </c>
      <c r="J230" s="8">
        <v>0</v>
      </c>
      <c r="K230" s="14">
        <v>4101.2</v>
      </c>
      <c r="L230" t="s">
        <v>39</v>
      </c>
      <c r="M230" t="s">
        <v>36</v>
      </c>
      <c r="N230" s="14">
        <f>Table14[[#This Row],[Quantity]]*Table14[[#This Row],[UnitPrice]]*(1-Table14[[#This Row],[Discount]])</f>
        <v>4101.2</v>
      </c>
      <c r="O230" s="8">
        <f>YEAR(Table14[[#This Row],[OrderDate]])</f>
        <v>2026</v>
      </c>
      <c r="P230" s="8" t="str">
        <f>TEXT(Table14[[#This Row],[OrderDate]],"mmmm")</f>
        <v>February</v>
      </c>
      <c r="Q230" s="8" t="str">
        <f t="shared" si="9"/>
        <v>Q1</v>
      </c>
      <c r="R230" s="3">
        <f>Table14[[#This Row],[Revenue]]*25%</f>
        <v>1025.3</v>
      </c>
      <c r="S230" s="3">
        <f t="shared" si="10"/>
        <v>738.21599999999989</v>
      </c>
      <c r="T230" s="14">
        <f t="shared" si="11"/>
        <v>3362.9839999999999</v>
      </c>
      <c r="U230" s="3" t="str">
        <f t="array" ref="U230">_xlfn.IFS(Table14[[#This Row],[Revenue]]&gt;10000,"High",AND(Table14[[#This Row],[Revenue]]&gt;=5000,Table14[[#This Row],[Revenue]]&lt;=10000),"Medium",Table14[[#This Row],[Revenue]]&lt;5000,"Low")</f>
        <v>Low</v>
      </c>
      <c r="V230" s="3"/>
    </row>
    <row r="231" spans="1:22" x14ac:dyDescent="0.35">
      <c r="A231" s="8">
        <v>1126</v>
      </c>
      <c r="B231" s="2">
        <v>46075</v>
      </c>
      <c r="C231" t="s">
        <v>14</v>
      </c>
      <c r="D231" t="s">
        <v>15</v>
      </c>
      <c r="E231" t="s">
        <v>92</v>
      </c>
      <c r="F231" t="s">
        <v>33</v>
      </c>
      <c r="G231" t="s">
        <v>53</v>
      </c>
      <c r="H231" s="8">
        <v>4</v>
      </c>
      <c r="I231" s="8">
        <v>586.72</v>
      </c>
      <c r="J231" s="8">
        <v>0.15</v>
      </c>
      <c r="K231" s="14">
        <v>1994.85</v>
      </c>
      <c r="L231" t="s">
        <v>19</v>
      </c>
      <c r="M231" t="s">
        <v>26</v>
      </c>
      <c r="N231" s="14">
        <f>Table14[[#This Row],[Quantity]]*Table14[[#This Row],[UnitPrice]]*(1-Table14[[#This Row],[Discount]])</f>
        <v>1994.848</v>
      </c>
      <c r="O231" s="8">
        <f>YEAR(Table14[[#This Row],[OrderDate]])</f>
        <v>2026</v>
      </c>
      <c r="P231" s="8" t="str">
        <f>TEXT(Table14[[#This Row],[OrderDate]],"mmmm")</f>
        <v>February</v>
      </c>
      <c r="Q231" s="8" t="str">
        <f t="shared" si="9"/>
        <v>Q1</v>
      </c>
      <c r="R231" s="3">
        <f>Table14[[#This Row],[Revenue]]*25%</f>
        <v>498.71249999999998</v>
      </c>
      <c r="S231" s="3">
        <f t="shared" si="10"/>
        <v>359.07299999999998</v>
      </c>
      <c r="T231" s="14">
        <f t="shared" si="11"/>
        <v>1635.777</v>
      </c>
      <c r="U231" s="3" t="str">
        <f t="array" ref="U231">_xlfn.IFS(Table14[[#This Row],[Revenue]]&gt;10000,"High",AND(Table14[[#This Row],[Revenue]]&gt;=5000,Table14[[#This Row],[Revenue]]&lt;=10000),"Medium",Table14[[#This Row],[Revenue]]&lt;5000,"Low")</f>
        <v>Low</v>
      </c>
      <c r="V231" s="3"/>
    </row>
    <row r="232" spans="1:22" x14ac:dyDescent="0.35">
      <c r="A232" s="8">
        <v>1014</v>
      </c>
      <c r="B232" s="2">
        <v>46080</v>
      </c>
      <c r="C232" t="s">
        <v>27</v>
      </c>
      <c r="D232" t="s">
        <v>15</v>
      </c>
      <c r="E232" t="s">
        <v>92</v>
      </c>
      <c r="F232" t="s">
        <v>24</v>
      </c>
      <c r="G232" t="s">
        <v>63</v>
      </c>
      <c r="H232" s="8">
        <v>15</v>
      </c>
      <c r="I232" s="8">
        <v>543.07000000000005</v>
      </c>
      <c r="J232" s="8">
        <v>0</v>
      </c>
      <c r="K232" s="14">
        <v>8146.05</v>
      </c>
      <c r="L232" t="s">
        <v>39</v>
      </c>
      <c r="M232" t="s">
        <v>20</v>
      </c>
      <c r="N232" s="14">
        <f>Table14[[#This Row],[Quantity]]*Table14[[#This Row],[UnitPrice]]*(1-Table14[[#This Row],[Discount]])</f>
        <v>8146.0500000000011</v>
      </c>
      <c r="O232" s="8">
        <f>YEAR(Table14[[#This Row],[OrderDate]])</f>
        <v>2026</v>
      </c>
      <c r="P232" s="8" t="str">
        <f>TEXT(Table14[[#This Row],[OrderDate]],"mmmm")</f>
        <v>February</v>
      </c>
      <c r="Q232" s="8" t="str">
        <f t="shared" si="9"/>
        <v>Q1</v>
      </c>
      <c r="R232" s="3">
        <f>Table14[[#This Row],[Revenue]]*25%</f>
        <v>2036.5125</v>
      </c>
      <c r="S232" s="3">
        <f t="shared" si="10"/>
        <v>1466.289</v>
      </c>
      <c r="T232" s="14">
        <f t="shared" si="11"/>
        <v>6679.7610000000004</v>
      </c>
      <c r="U232" s="3" t="str">
        <f t="array" ref="U232">_xlfn.IFS(Table14[[#This Row],[Revenue]]&gt;10000,"High",AND(Table14[[#This Row],[Revenue]]&gt;=5000,Table14[[#This Row],[Revenue]]&lt;=10000),"Medium",Table14[[#This Row],[Revenue]]&lt;5000,"Low")</f>
        <v>Medium</v>
      </c>
      <c r="V232" s="3"/>
    </row>
    <row r="233" spans="1:22" x14ac:dyDescent="0.35">
      <c r="A233" s="8">
        <v>1087</v>
      </c>
      <c r="B233" s="2">
        <v>46081</v>
      </c>
      <c r="C233" t="s">
        <v>14</v>
      </c>
      <c r="D233" t="s">
        <v>47</v>
      </c>
      <c r="E233" t="s">
        <v>44</v>
      </c>
      <c r="F233" t="s">
        <v>24</v>
      </c>
      <c r="G233" t="s">
        <v>63</v>
      </c>
      <c r="H233" s="8">
        <v>4</v>
      </c>
      <c r="I233" s="8">
        <v>611.70000000000005</v>
      </c>
      <c r="J233" s="8">
        <v>0.1</v>
      </c>
      <c r="K233" s="14">
        <v>2202.12</v>
      </c>
      <c r="L233" t="s">
        <v>39</v>
      </c>
      <c r="M233" t="s">
        <v>36</v>
      </c>
      <c r="N233" s="14">
        <f>Table14[[#This Row],[Quantity]]*Table14[[#This Row],[UnitPrice]]*(1-Table14[[#This Row],[Discount]])</f>
        <v>2202.1200000000003</v>
      </c>
      <c r="O233" s="8">
        <f>YEAR(Table14[[#This Row],[OrderDate]])</f>
        <v>2026</v>
      </c>
      <c r="P233" s="8" t="str">
        <f>TEXT(Table14[[#This Row],[OrderDate]],"mmmm")</f>
        <v>February</v>
      </c>
      <c r="Q233" s="8" t="str">
        <f t="shared" si="9"/>
        <v>Q1</v>
      </c>
      <c r="R233" s="3">
        <f>Table14[[#This Row],[Revenue]]*25%</f>
        <v>550.53</v>
      </c>
      <c r="S233" s="3">
        <f t="shared" si="10"/>
        <v>396.38159999999999</v>
      </c>
      <c r="T233" s="14">
        <f t="shared" si="11"/>
        <v>1805.7384</v>
      </c>
      <c r="U233" s="3" t="str">
        <f t="array" ref="U233">_xlfn.IFS(Table14[[#This Row],[Revenue]]&gt;10000,"High",AND(Table14[[#This Row],[Revenue]]&gt;=5000,Table14[[#This Row],[Revenue]]&lt;=10000),"Medium",Table14[[#This Row],[Revenue]]&lt;5000,"Low")</f>
        <v>Low</v>
      </c>
      <c r="V233" s="3"/>
    </row>
    <row r="234" spans="1:22" x14ac:dyDescent="0.35">
      <c r="A234" s="8">
        <v>1092</v>
      </c>
      <c r="B234" s="2">
        <v>46083</v>
      </c>
      <c r="C234" t="s">
        <v>14</v>
      </c>
      <c r="D234" t="s">
        <v>15</v>
      </c>
      <c r="E234" t="s">
        <v>103</v>
      </c>
      <c r="F234" t="s">
        <v>17</v>
      </c>
      <c r="G234" t="s">
        <v>18</v>
      </c>
      <c r="H234" s="8">
        <v>14</v>
      </c>
      <c r="I234" s="8">
        <v>1177.07</v>
      </c>
      <c r="J234" s="8">
        <v>0.1</v>
      </c>
      <c r="K234" s="14">
        <v>14831.08</v>
      </c>
      <c r="L234" t="s">
        <v>19</v>
      </c>
      <c r="M234" t="s">
        <v>26</v>
      </c>
      <c r="N234" s="14">
        <f>Table14[[#This Row],[Quantity]]*Table14[[#This Row],[UnitPrice]]*(1-Table14[[#This Row],[Discount]])</f>
        <v>14831.082</v>
      </c>
      <c r="O234" s="8">
        <f>YEAR(Table14[[#This Row],[OrderDate]])</f>
        <v>2026</v>
      </c>
      <c r="P234" s="8" t="str">
        <f>TEXT(Table14[[#This Row],[OrderDate]],"mmmm")</f>
        <v>March</v>
      </c>
      <c r="Q234" s="8" t="str">
        <f t="shared" si="9"/>
        <v>Q1</v>
      </c>
      <c r="R234" s="3">
        <f>Table14[[#This Row],[Revenue]]*25%</f>
        <v>3707.77</v>
      </c>
      <c r="S234" s="3">
        <f t="shared" si="10"/>
        <v>2669.5944</v>
      </c>
      <c r="T234" s="14">
        <f t="shared" si="11"/>
        <v>12161.4856</v>
      </c>
      <c r="U234" s="3" t="str">
        <f t="array" ref="U234">_xlfn.IFS(Table14[[#This Row],[Revenue]]&gt;10000,"High",AND(Table14[[#This Row],[Revenue]]&gt;=5000,Table14[[#This Row],[Revenue]]&lt;=10000),"Medium",Table14[[#This Row],[Revenue]]&lt;5000,"Low")</f>
        <v>High</v>
      </c>
      <c r="V234" s="3"/>
    </row>
    <row r="235" spans="1:22" x14ac:dyDescent="0.35">
      <c r="A235" s="8">
        <v>1217</v>
      </c>
      <c r="B235" s="2">
        <v>46083</v>
      </c>
      <c r="C235" t="s">
        <v>27</v>
      </c>
      <c r="D235" t="s">
        <v>31</v>
      </c>
      <c r="E235" t="s">
        <v>50</v>
      </c>
      <c r="F235" t="s">
        <v>17</v>
      </c>
      <c r="G235" t="s">
        <v>30</v>
      </c>
      <c r="H235" s="8">
        <v>2</v>
      </c>
      <c r="I235" s="8">
        <v>561.78</v>
      </c>
      <c r="J235" s="8">
        <v>0</v>
      </c>
      <c r="K235" s="14">
        <v>1123.56</v>
      </c>
      <c r="L235" t="s">
        <v>35</v>
      </c>
      <c r="M235" t="s">
        <v>20</v>
      </c>
      <c r="N235" s="14">
        <f>Table14[[#This Row],[Quantity]]*Table14[[#This Row],[UnitPrice]]*(1-Table14[[#This Row],[Discount]])</f>
        <v>1123.56</v>
      </c>
      <c r="O235" s="8">
        <f>YEAR(Table14[[#This Row],[OrderDate]])</f>
        <v>2026</v>
      </c>
      <c r="P235" s="8" t="str">
        <f>TEXT(Table14[[#This Row],[OrderDate]],"mmmm")</f>
        <v>March</v>
      </c>
      <c r="Q235" s="8" t="str">
        <f t="shared" si="9"/>
        <v>Q1</v>
      </c>
      <c r="R235" s="3">
        <f>Table14[[#This Row],[Revenue]]*25%</f>
        <v>280.89</v>
      </c>
      <c r="S235" s="3">
        <f t="shared" si="10"/>
        <v>202.24079999999998</v>
      </c>
      <c r="T235" s="14">
        <f t="shared" si="11"/>
        <v>921.31919999999991</v>
      </c>
      <c r="U235" s="3" t="str">
        <f t="array" ref="U235">_xlfn.IFS(Table14[[#This Row],[Revenue]]&gt;10000,"High",AND(Table14[[#This Row],[Revenue]]&gt;=5000,Table14[[#This Row],[Revenue]]&lt;=10000),"Medium",Table14[[#This Row],[Revenue]]&lt;5000,"Low")</f>
        <v>Low</v>
      </c>
      <c r="V235" s="3"/>
    </row>
    <row r="236" spans="1:22" x14ac:dyDescent="0.35">
      <c r="A236" s="8">
        <v>1226</v>
      </c>
      <c r="B236" s="2">
        <v>46083</v>
      </c>
      <c r="C236" t="s">
        <v>21</v>
      </c>
      <c r="D236" t="s">
        <v>22</v>
      </c>
      <c r="E236" t="s">
        <v>121</v>
      </c>
      <c r="F236" t="s">
        <v>24</v>
      </c>
      <c r="G236" t="s">
        <v>38</v>
      </c>
      <c r="H236" s="8">
        <v>7</v>
      </c>
      <c r="I236" s="8">
        <v>408.56</v>
      </c>
      <c r="J236" s="8">
        <v>0.15</v>
      </c>
      <c r="K236" s="14">
        <v>2430.9299999999998</v>
      </c>
      <c r="L236" t="s">
        <v>35</v>
      </c>
      <c r="M236" t="s">
        <v>26</v>
      </c>
      <c r="N236" s="14">
        <f>Table14[[#This Row],[Quantity]]*Table14[[#This Row],[UnitPrice]]*(1-Table14[[#This Row],[Discount]])</f>
        <v>2430.9319999999998</v>
      </c>
      <c r="O236" s="8">
        <f>YEAR(Table14[[#This Row],[OrderDate]])</f>
        <v>2026</v>
      </c>
      <c r="P236" s="8" t="str">
        <f>TEXT(Table14[[#This Row],[OrderDate]],"mmmm")</f>
        <v>March</v>
      </c>
      <c r="Q236" s="8" t="str">
        <f t="shared" si="9"/>
        <v>Q1</v>
      </c>
      <c r="R236" s="3">
        <f>Table14[[#This Row],[Revenue]]*25%</f>
        <v>607.73249999999996</v>
      </c>
      <c r="S236" s="3">
        <f t="shared" si="10"/>
        <v>437.56739999999996</v>
      </c>
      <c r="T236" s="14">
        <f t="shared" si="11"/>
        <v>1993.3625999999999</v>
      </c>
      <c r="U236" s="3" t="str">
        <f t="array" ref="U236">_xlfn.IFS(Table14[[#This Row],[Revenue]]&gt;10000,"High",AND(Table14[[#This Row],[Revenue]]&gt;=5000,Table14[[#This Row],[Revenue]]&lt;=10000),"Medium",Table14[[#This Row],[Revenue]]&lt;5000,"Low")</f>
        <v>Low</v>
      </c>
      <c r="V236" s="3"/>
    </row>
    <row r="237" spans="1:22" x14ac:dyDescent="0.35">
      <c r="A237" s="8">
        <v>1239</v>
      </c>
      <c r="B237" s="2">
        <v>46090</v>
      </c>
      <c r="C237" t="s">
        <v>14</v>
      </c>
      <c r="D237" t="s">
        <v>22</v>
      </c>
      <c r="E237" t="s">
        <v>102</v>
      </c>
      <c r="F237" t="s">
        <v>33</v>
      </c>
      <c r="G237" t="s">
        <v>53</v>
      </c>
      <c r="H237" s="8">
        <v>6</v>
      </c>
      <c r="I237" s="8">
        <v>751.3</v>
      </c>
      <c r="J237" s="8">
        <v>0.05</v>
      </c>
      <c r="K237" s="14">
        <v>4282.41</v>
      </c>
      <c r="L237" t="s">
        <v>39</v>
      </c>
      <c r="M237" t="s">
        <v>26</v>
      </c>
      <c r="N237" s="14">
        <f>Table14[[#This Row],[Quantity]]*Table14[[#This Row],[UnitPrice]]*(1-Table14[[#This Row],[Discount]])</f>
        <v>4282.4099999999989</v>
      </c>
      <c r="O237" s="8">
        <f>YEAR(Table14[[#This Row],[OrderDate]])</f>
        <v>2026</v>
      </c>
      <c r="P237" s="8" t="str">
        <f>TEXT(Table14[[#This Row],[OrderDate]],"mmmm")</f>
        <v>March</v>
      </c>
      <c r="Q237" s="8" t="str">
        <f t="shared" si="9"/>
        <v>Q1</v>
      </c>
      <c r="R237" s="3">
        <f>Table14[[#This Row],[Revenue]]*25%</f>
        <v>1070.6025</v>
      </c>
      <c r="S237" s="3">
        <f t="shared" si="10"/>
        <v>770.8338</v>
      </c>
      <c r="T237" s="14">
        <f t="shared" si="11"/>
        <v>3511.5762</v>
      </c>
      <c r="U237" s="3" t="str">
        <f t="array" ref="U237">_xlfn.IFS(Table14[[#This Row],[Revenue]]&gt;10000,"High",AND(Table14[[#This Row],[Revenue]]&gt;=5000,Table14[[#This Row],[Revenue]]&lt;=10000),"Medium",Table14[[#This Row],[Revenue]]&lt;5000,"Low")</f>
        <v>Low</v>
      </c>
      <c r="V237" s="3"/>
    </row>
    <row r="238" spans="1:22" x14ac:dyDescent="0.35">
      <c r="A238" s="8">
        <v>1297</v>
      </c>
      <c r="B238" s="2">
        <v>46090</v>
      </c>
      <c r="C238" t="s">
        <v>27</v>
      </c>
      <c r="D238" t="s">
        <v>54</v>
      </c>
      <c r="E238" t="s">
        <v>85</v>
      </c>
      <c r="F238" t="s">
        <v>33</v>
      </c>
      <c r="G238" t="s">
        <v>34</v>
      </c>
      <c r="H238" s="8">
        <v>5</v>
      </c>
      <c r="I238" s="8">
        <v>917.07</v>
      </c>
      <c r="J238" s="8">
        <v>0.05</v>
      </c>
      <c r="K238" s="14">
        <v>4356.08</v>
      </c>
      <c r="L238" t="s">
        <v>39</v>
      </c>
      <c r="M238" t="s">
        <v>20</v>
      </c>
      <c r="N238" s="14">
        <f>Table14[[#This Row],[Quantity]]*Table14[[#This Row],[UnitPrice]]*(1-Table14[[#This Row],[Discount]])</f>
        <v>4356.0825000000004</v>
      </c>
      <c r="O238" s="8">
        <f>YEAR(Table14[[#This Row],[OrderDate]])</f>
        <v>2026</v>
      </c>
      <c r="P238" s="8" t="str">
        <f>TEXT(Table14[[#This Row],[OrderDate]],"mmmm")</f>
        <v>March</v>
      </c>
      <c r="Q238" s="8" t="str">
        <f t="shared" si="9"/>
        <v>Q1</v>
      </c>
      <c r="R238" s="3">
        <f>Table14[[#This Row],[Revenue]]*25%</f>
        <v>1089.02</v>
      </c>
      <c r="S238" s="3">
        <f t="shared" si="10"/>
        <v>784.09439999999995</v>
      </c>
      <c r="T238" s="14">
        <f t="shared" si="11"/>
        <v>3571.9856</v>
      </c>
      <c r="U238" s="3" t="str">
        <f t="array" ref="U238">_xlfn.IFS(Table14[[#This Row],[Revenue]]&gt;10000,"High",AND(Table14[[#This Row],[Revenue]]&gt;=5000,Table14[[#This Row],[Revenue]]&lt;=10000),"Medium",Table14[[#This Row],[Revenue]]&lt;5000,"Low")</f>
        <v>Low</v>
      </c>
      <c r="V238" s="3"/>
    </row>
    <row r="239" spans="1:22" x14ac:dyDescent="0.35">
      <c r="A239" s="8">
        <v>1081</v>
      </c>
      <c r="B239" s="2">
        <v>46094</v>
      </c>
      <c r="C239" t="s">
        <v>21</v>
      </c>
      <c r="D239" t="s">
        <v>22</v>
      </c>
      <c r="E239" t="s">
        <v>122</v>
      </c>
      <c r="F239" t="s">
        <v>33</v>
      </c>
      <c r="G239" t="s">
        <v>34</v>
      </c>
      <c r="H239" s="8">
        <v>13</v>
      </c>
      <c r="I239" s="8">
        <v>775.95</v>
      </c>
      <c r="J239" s="8">
        <v>0</v>
      </c>
      <c r="K239" s="14">
        <v>10087.35</v>
      </c>
      <c r="L239" t="s">
        <v>35</v>
      </c>
      <c r="M239" t="s">
        <v>26</v>
      </c>
      <c r="N239" s="14">
        <f>Table14[[#This Row],[Quantity]]*Table14[[#This Row],[UnitPrice]]*(1-Table14[[#This Row],[Discount]])</f>
        <v>10087.35</v>
      </c>
      <c r="O239" s="8">
        <f>YEAR(Table14[[#This Row],[OrderDate]])</f>
        <v>2026</v>
      </c>
      <c r="P239" s="8" t="str">
        <f>TEXT(Table14[[#This Row],[OrderDate]],"mmmm")</f>
        <v>March</v>
      </c>
      <c r="Q239" s="8" t="str">
        <f t="shared" si="9"/>
        <v>Q1</v>
      </c>
      <c r="R239" s="3">
        <f>Table14[[#This Row],[Revenue]]*25%</f>
        <v>2521.8375000000001</v>
      </c>
      <c r="S239" s="3">
        <f t="shared" si="10"/>
        <v>1815.723</v>
      </c>
      <c r="T239" s="14">
        <f t="shared" si="11"/>
        <v>8271.6270000000004</v>
      </c>
      <c r="U239" s="3" t="str">
        <f t="array" ref="U239">_xlfn.IFS(Table14[[#This Row],[Revenue]]&gt;10000,"High",AND(Table14[[#This Row],[Revenue]]&gt;=5000,Table14[[#This Row],[Revenue]]&lt;=10000),"Medium",Table14[[#This Row],[Revenue]]&lt;5000,"Low")</f>
        <v>High</v>
      </c>
      <c r="V239" s="3"/>
    </row>
    <row r="240" spans="1:22" x14ac:dyDescent="0.35">
      <c r="A240" s="8">
        <v>1258</v>
      </c>
      <c r="B240" s="2">
        <v>46094</v>
      </c>
      <c r="C240" t="s">
        <v>43</v>
      </c>
      <c r="D240" t="s">
        <v>28</v>
      </c>
      <c r="E240" t="s">
        <v>121</v>
      </c>
      <c r="F240" t="s">
        <v>33</v>
      </c>
      <c r="G240" t="s">
        <v>61</v>
      </c>
      <c r="H240" s="8">
        <v>2</v>
      </c>
      <c r="I240" s="8">
        <v>42.23</v>
      </c>
      <c r="J240" s="8">
        <v>0</v>
      </c>
      <c r="K240" s="14">
        <v>84.46</v>
      </c>
      <c r="L240" t="s">
        <v>39</v>
      </c>
      <c r="M240" t="s">
        <v>36</v>
      </c>
      <c r="N240" s="14">
        <f>Table14[[#This Row],[Quantity]]*Table14[[#This Row],[UnitPrice]]*(1-Table14[[#This Row],[Discount]])</f>
        <v>84.46</v>
      </c>
      <c r="O240" s="8">
        <f>YEAR(Table14[[#This Row],[OrderDate]])</f>
        <v>2026</v>
      </c>
      <c r="P240" s="8" t="str">
        <f>TEXT(Table14[[#This Row],[OrderDate]],"mmmm")</f>
        <v>March</v>
      </c>
      <c r="Q240" s="8" t="str">
        <f t="shared" si="9"/>
        <v>Q1</v>
      </c>
      <c r="R240" s="3">
        <f>Table14[[#This Row],[Revenue]]*25%</f>
        <v>21.114999999999998</v>
      </c>
      <c r="S240" s="3">
        <f t="shared" si="10"/>
        <v>15.202799999999998</v>
      </c>
      <c r="T240" s="14">
        <f t="shared" si="11"/>
        <v>69.257199999999997</v>
      </c>
      <c r="U240" s="3" t="str">
        <f t="array" ref="U240">_xlfn.IFS(Table14[[#This Row],[Revenue]]&gt;10000,"High",AND(Table14[[#This Row],[Revenue]]&gt;=5000,Table14[[#This Row],[Revenue]]&lt;=10000),"Medium",Table14[[#This Row],[Revenue]]&lt;5000,"Low")</f>
        <v>Low</v>
      </c>
      <c r="V240" s="3"/>
    </row>
    <row r="241" spans="1:22" x14ac:dyDescent="0.35">
      <c r="A241" s="8">
        <v>1268</v>
      </c>
      <c r="B241" s="2">
        <v>46094</v>
      </c>
      <c r="C241" t="s">
        <v>14</v>
      </c>
      <c r="D241" t="s">
        <v>47</v>
      </c>
      <c r="E241" t="s">
        <v>55</v>
      </c>
      <c r="F241" t="s">
        <v>33</v>
      </c>
      <c r="G241" t="s">
        <v>61</v>
      </c>
      <c r="H241" s="8">
        <v>6</v>
      </c>
      <c r="I241" s="8">
        <v>76.27</v>
      </c>
      <c r="J241" s="8">
        <v>0.1</v>
      </c>
      <c r="K241" s="14">
        <v>411.86</v>
      </c>
      <c r="L241" t="s">
        <v>39</v>
      </c>
      <c r="M241" t="s">
        <v>36</v>
      </c>
      <c r="N241" s="14">
        <f>Table14[[#This Row],[Quantity]]*Table14[[#This Row],[UnitPrice]]*(1-Table14[[#This Row],[Discount]])</f>
        <v>411.858</v>
      </c>
      <c r="O241" s="8">
        <f>YEAR(Table14[[#This Row],[OrderDate]])</f>
        <v>2026</v>
      </c>
      <c r="P241" s="8" t="str">
        <f>TEXT(Table14[[#This Row],[OrderDate]],"mmmm")</f>
        <v>March</v>
      </c>
      <c r="Q241" s="8" t="str">
        <f t="shared" si="9"/>
        <v>Q1</v>
      </c>
      <c r="R241" s="3">
        <f>Table14[[#This Row],[Revenue]]*25%</f>
        <v>102.965</v>
      </c>
      <c r="S241" s="3">
        <f t="shared" si="10"/>
        <v>74.134799999999998</v>
      </c>
      <c r="T241" s="14">
        <f t="shared" si="11"/>
        <v>337.72520000000003</v>
      </c>
      <c r="U241" s="3" t="str">
        <f t="array" ref="U241">_xlfn.IFS(Table14[[#This Row],[Revenue]]&gt;10000,"High",AND(Table14[[#This Row],[Revenue]]&gt;=5000,Table14[[#This Row],[Revenue]]&lt;=10000),"Medium",Table14[[#This Row],[Revenue]]&lt;5000,"Low")</f>
        <v>Low</v>
      </c>
      <c r="V241" s="3"/>
    </row>
    <row r="242" spans="1:22" x14ac:dyDescent="0.35">
      <c r="A242" s="8">
        <v>1256</v>
      </c>
      <c r="B242" s="2">
        <v>46095</v>
      </c>
      <c r="C242" t="s">
        <v>14</v>
      </c>
      <c r="D242" t="s">
        <v>22</v>
      </c>
      <c r="E242" t="s">
        <v>64</v>
      </c>
      <c r="F242" t="s">
        <v>17</v>
      </c>
      <c r="G242" t="s">
        <v>18</v>
      </c>
      <c r="H242" s="8">
        <v>9</v>
      </c>
      <c r="I242" s="8">
        <v>489.98</v>
      </c>
      <c r="J242" s="8">
        <v>0</v>
      </c>
      <c r="K242" s="14">
        <v>4409.82</v>
      </c>
      <c r="L242" t="s">
        <v>39</v>
      </c>
      <c r="M242" t="s">
        <v>20</v>
      </c>
      <c r="N242" s="14">
        <f>Table14[[#This Row],[Quantity]]*Table14[[#This Row],[UnitPrice]]*(1-Table14[[#This Row],[Discount]])</f>
        <v>4409.82</v>
      </c>
      <c r="O242" s="8">
        <f>YEAR(Table14[[#This Row],[OrderDate]])</f>
        <v>2026</v>
      </c>
      <c r="P242" s="8" t="str">
        <f>TEXT(Table14[[#This Row],[OrderDate]],"mmmm")</f>
        <v>March</v>
      </c>
      <c r="Q242" s="8" t="str">
        <f t="shared" si="9"/>
        <v>Q1</v>
      </c>
      <c r="R242" s="3">
        <f>Table14[[#This Row],[Revenue]]*25%</f>
        <v>1102.4549999999999</v>
      </c>
      <c r="S242" s="3">
        <f t="shared" si="10"/>
        <v>793.7675999999999</v>
      </c>
      <c r="T242" s="14">
        <f t="shared" si="11"/>
        <v>3616.0523999999996</v>
      </c>
      <c r="U242" s="3" t="str">
        <f t="array" ref="U242">_xlfn.IFS(Table14[[#This Row],[Revenue]]&gt;10000,"High",AND(Table14[[#This Row],[Revenue]]&gt;=5000,Table14[[#This Row],[Revenue]]&lt;=10000),"Medium",Table14[[#This Row],[Revenue]]&lt;5000,"Low")</f>
        <v>Low</v>
      </c>
      <c r="V242" s="3"/>
    </row>
    <row r="243" spans="1:22" x14ac:dyDescent="0.35">
      <c r="A243" s="8">
        <v>1034</v>
      </c>
      <c r="B243" s="2">
        <v>46097</v>
      </c>
      <c r="C243" t="s">
        <v>43</v>
      </c>
      <c r="D243" t="s">
        <v>22</v>
      </c>
      <c r="E243" t="s">
        <v>73</v>
      </c>
      <c r="F243" t="s">
        <v>33</v>
      </c>
      <c r="G243" t="s">
        <v>34</v>
      </c>
      <c r="H243" s="8">
        <v>9</v>
      </c>
      <c r="I243" s="8">
        <v>583.97</v>
      </c>
      <c r="J243" s="8">
        <v>0.1</v>
      </c>
      <c r="K243" s="14">
        <v>4730.16</v>
      </c>
      <c r="L243" t="s">
        <v>19</v>
      </c>
      <c r="M243" t="s">
        <v>20</v>
      </c>
      <c r="N243" s="14">
        <f>Table14[[#This Row],[Quantity]]*Table14[[#This Row],[UnitPrice]]*(1-Table14[[#This Row],[Discount]])</f>
        <v>4730.1570000000002</v>
      </c>
      <c r="O243" s="8">
        <f>YEAR(Table14[[#This Row],[OrderDate]])</f>
        <v>2026</v>
      </c>
      <c r="P243" s="8" t="str">
        <f>TEXT(Table14[[#This Row],[OrderDate]],"mmmm")</f>
        <v>March</v>
      </c>
      <c r="Q243" s="8" t="str">
        <f t="shared" si="9"/>
        <v>Q1</v>
      </c>
      <c r="R243" s="3">
        <f>Table14[[#This Row],[Revenue]]*25%</f>
        <v>1182.54</v>
      </c>
      <c r="S243" s="3">
        <f t="shared" si="10"/>
        <v>851.42879999999991</v>
      </c>
      <c r="T243" s="14">
        <f t="shared" si="11"/>
        <v>3878.7312000000002</v>
      </c>
      <c r="U243" s="3" t="str">
        <f t="array" ref="U243">_xlfn.IFS(Table14[[#This Row],[Revenue]]&gt;10000,"High",AND(Table14[[#This Row],[Revenue]]&gt;=5000,Table14[[#This Row],[Revenue]]&lt;=10000),"Medium",Table14[[#This Row],[Revenue]]&lt;5000,"Low")</f>
        <v>Low</v>
      </c>
      <c r="V243" s="3"/>
    </row>
    <row r="244" spans="1:22" x14ac:dyDescent="0.35">
      <c r="A244" s="8">
        <v>1125</v>
      </c>
      <c r="B244" s="2">
        <v>46098</v>
      </c>
      <c r="C244" t="s">
        <v>27</v>
      </c>
      <c r="D244" t="s">
        <v>47</v>
      </c>
      <c r="E244" t="s">
        <v>80</v>
      </c>
      <c r="F244" t="s">
        <v>17</v>
      </c>
      <c r="G244" t="s">
        <v>18</v>
      </c>
      <c r="H244" s="8">
        <v>7</v>
      </c>
      <c r="I244" s="8">
        <v>989.45</v>
      </c>
      <c r="J244" s="8">
        <v>0</v>
      </c>
      <c r="K244" s="14">
        <v>6926.15</v>
      </c>
      <c r="L244" t="s">
        <v>35</v>
      </c>
      <c r="M244" t="s">
        <v>26</v>
      </c>
      <c r="N244" s="14">
        <f>Table14[[#This Row],[Quantity]]*Table14[[#This Row],[UnitPrice]]*(1-Table14[[#This Row],[Discount]])</f>
        <v>6926.1500000000005</v>
      </c>
      <c r="O244" s="8">
        <f>YEAR(Table14[[#This Row],[OrderDate]])</f>
        <v>2026</v>
      </c>
      <c r="P244" s="8" t="str">
        <f>TEXT(Table14[[#This Row],[OrderDate]],"mmmm")</f>
        <v>March</v>
      </c>
      <c r="Q244" s="8" t="str">
        <f t="shared" si="9"/>
        <v>Q1</v>
      </c>
      <c r="R244" s="3">
        <f>Table14[[#This Row],[Revenue]]*25%</f>
        <v>1731.5374999999999</v>
      </c>
      <c r="S244" s="3">
        <f t="shared" si="10"/>
        <v>1246.7069999999999</v>
      </c>
      <c r="T244" s="14">
        <f t="shared" si="11"/>
        <v>5679.4429999999993</v>
      </c>
      <c r="U244" s="3" t="str">
        <f t="array" ref="U244">_xlfn.IFS(Table14[[#This Row],[Revenue]]&gt;10000,"High",AND(Table14[[#This Row],[Revenue]]&gt;=5000,Table14[[#This Row],[Revenue]]&lt;=10000),"Medium",Table14[[#This Row],[Revenue]]&lt;5000,"Low")</f>
        <v>Medium</v>
      </c>
      <c r="V244" s="3"/>
    </row>
    <row r="245" spans="1:22" x14ac:dyDescent="0.35">
      <c r="A245" s="8">
        <v>1293</v>
      </c>
      <c r="B245" s="2">
        <v>46099</v>
      </c>
      <c r="C245" t="s">
        <v>14</v>
      </c>
      <c r="D245" t="s">
        <v>31</v>
      </c>
      <c r="E245" t="s">
        <v>90</v>
      </c>
      <c r="F245" t="s">
        <v>33</v>
      </c>
      <c r="G245" t="s">
        <v>53</v>
      </c>
      <c r="H245" s="8">
        <v>3</v>
      </c>
      <c r="I245" s="8">
        <v>870.87</v>
      </c>
      <c r="J245" s="8">
        <v>0.1</v>
      </c>
      <c r="K245" s="14">
        <v>2351.35</v>
      </c>
      <c r="L245" t="s">
        <v>39</v>
      </c>
      <c r="M245" t="s">
        <v>26</v>
      </c>
      <c r="N245" s="14">
        <f>Table14[[#This Row],[Quantity]]*Table14[[#This Row],[UnitPrice]]*(1-Table14[[#This Row],[Discount]])</f>
        <v>2351.3490000000002</v>
      </c>
      <c r="O245" s="8">
        <f>YEAR(Table14[[#This Row],[OrderDate]])</f>
        <v>2026</v>
      </c>
      <c r="P245" s="8" t="str">
        <f>TEXT(Table14[[#This Row],[OrderDate]],"mmmm")</f>
        <v>March</v>
      </c>
      <c r="Q245" s="8" t="str">
        <f t="shared" si="9"/>
        <v>Q1</v>
      </c>
      <c r="R245" s="3">
        <f>Table14[[#This Row],[Revenue]]*25%</f>
        <v>587.83749999999998</v>
      </c>
      <c r="S245" s="3">
        <f t="shared" si="10"/>
        <v>423.24299999999999</v>
      </c>
      <c r="T245" s="14">
        <f t="shared" si="11"/>
        <v>1928.107</v>
      </c>
      <c r="U245" s="3" t="str">
        <f t="array" ref="U245">_xlfn.IFS(Table14[[#This Row],[Revenue]]&gt;10000,"High",AND(Table14[[#This Row],[Revenue]]&gt;=5000,Table14[[#This Row],[Revenue]]&lt;=10000),"Medium",Table14[[#This Row],[Revenue]]&lt;5000,"Low")</f>
        <v>Low</v>
      </c>
      <c r="V245" s="3"/>
    </row>
    <row r="246" spans="1:22" x14ac:dyDescent="0.35">
      <c r="A246" s="8">
        <v>1259</v>
      </c>
      <c r="B246" s="2">
        <v>46100</v>
      </c>
      <c r="C246" t="s">
        <v>21</v>
      </c>
      <c r="D246" t="s">
        <v>54</v>
      </c>
      <c r="E246" t="s">
        <v>123</v>
      </c>
      <c r="F246" t="s">
        <v>24</v>
      </c>
      <c r="G246" t="s">
        <v>25</v>
      </c>
      <c r="H246" s="8">
        <v>13</v>
      </c>
      <c r="I246" s="8">
        <v>407.84</v>
      </c>
      <c r="J246" s="8">
        <v>0.05</v>
      </c>
      <c r="K246" s="14">
        <v>5036.82</v>
      </c>
      <c r="L246" t="s">
        <v>39</v>
      </c>
      <c r="M246" t="s">
        <v>26</v>
      </c>
      <c r="N246" s="14">
        <f>Table14[[#This Row],[Quantity]]*Table14[[#This Row],[UnitPrice]]*(1-Table14[[#This Row],[Discount]])</f>
        <v>5036.8239999999996</v>
      </c>
      <c r="O246" s="8">
        <f>YEAR(Table14[[#This Row],[OrderDate]])</f>
        <v>2026</v>
      </c>
      <c r="P246" s="8" t="str">
        <f>TEXT(Table14[[#This Row],[OrderDate]],"mmmm")</f>
        <v>March</v>
      </c>
      <c r="Q246" s="8" t="str">
        <f t="shared" si="9"/>
        <v>Q1</v>
      </c>
      <c r="R246" s="3">
        <f>Table14[[#This Row],[Revenue]]*25%</f>
        <v>1259.2049999999999</v>
      </c>
      <c r="S246" s="3">
        <f t="shared" si="10"/>
        <v>906.62759999999992</v>
      </c>
      <c r="T246" s="14">
        <f t="shared" si="11"/>
        <v>4130.1923999999999</v>
      </c>
      <c r="U246" s="3" t="str">
        <f t="array" ref="U246">_xlfn.IFS(Table14[[#This Row],[Revenue]]&gt;10000,"High",AND(Table14[[#This Row],[Revenue]]&gt;=5000,Table14[[#This Row],[Revenue]]&lt;=10000),"Medium",Table14[[#This Row],[Revenue]]&lt;5000,"Low")</f>
        <v>Medium</v>
      </c>
      <c r="V246" s="3"/>
    </row>
    <row r="247" spans="1:22" x14ac:dyDescent="0.35">
      <c r="A247" s="8">
        <v>1008</v>
      </c>
      <c r="B247" s="2">
        <v>46103</v>
      </c>
      <c r="C247" t="s">
        <v>21</v>
      </c>
      <c r="D247" t="s">
        <v>54</v>
      </c>
      <c r="E247" t="s">
        <v>95</v>
      </c>
      <c r="F247" t="s">
        <v>17</v>
      </c>
      <c r="G247" t="s">
        <v>18</v>
      </c>
      <c r="H247" s="8">
        <v>9</v>
      </c>
      <c r="I247" s="8">
        <v>1074.54</v>
      </c>
      <c r="J247" s="8">
        <v>0</v>
      </c>
      <c r="K247" s="14">
        <v>9670.86</v>
      </c>
      <c r="L247" t="s">
        <v>19</v>
      </c>
      <c r="M247" t="s">
        <v>36</v>
      </c>
      <c r="N247" s="14">
        <f>Table14[[#This Row],[Quantity]]*Table14[[#This Row],[UnitPrice]]*(1-Table14[[#This Row],[Discount]])</f>
        <v>9670.86</v>
      </c>
      <c r="O247" s="8">
        <f>YEAR(Table14[[#This Row],[OrderDate]])</f>
        <v>2026</v>
      </c>
      <c r="P247" s="8" t="str">
        <f>TEXT(Table14[[#This Row],[OrderDate]],"mmmm")</f>
        <v>March</v>
      </c>
      <c r="Q247" s="8" t="str">
        <f t="shared" si="9"/>
        <v>Q1</v>
      </c>
      <c r="R247" s="3">
        <f>Table14[[#This Row],[Revenue]]*25%</f>
        <v>2417.7150000000001</v>
      </c>
      <c r="S247" s="3">
        <f t="shared" si="10"/>
        <v>1740.7547999999999</v>
      </c>
      <c r="T247" s="14">
        <f t="shared" si="11"/>
        <v>7930.1052000000009</v>
      </c>
      <c r="U247" s="3" t="str">
        <f t="array" ref="U247">_xlfn.IFS(Table14[[#This Row],[Revenue]]&gt;10000,"High",AND(Table14[[#This Row],[Revenue]]&gt;=5000,Table14[[#This Row],[Revenue]]&lt;=10000),"Medium",Table14[[#This Row],[Revenue]]&lt;5000,"Low")</f>
        <v>Medium</v>
      </c>
      <c r="V247" s="3"/>
    </row>
    <row r="248" spans="1:22" x14ac:dyDescent="0.35">
      <c r="A248" s="8">
        <v>1277</v>
      </c>
      <c r="B248" s="2">
        <v>46103</v>
      </c>
      <c r="C248" t="s">
        <v>14</v>
      </c>
      <c r="D248" t="s">
        <v>31</v>
      </c>
      <c r="E248" t="s">
        <v>119</v>
      </c>
      <c r="F248" t="s">
        <v>33</v>
      </c>
      <c r="G248" t="s">
        <v>61</v>
      </c>
      <c r="H248" s="8">
        <v>5</v>
      </c>
      <c r="I248" s="8">
        <v>136.04</v>
      </c>
      <c r="J248" s="8">
        <v>0.15</v>
      </c>
      <c r="K248" s="14">
        <v>578.16999999999996</v>
      </c>
      <c r="L248" t="s">
        <v>19</v>
      </c>
      <c r="M248" t="s">
        <v>26</v>
      </c>
      <c r="N248" s="14">
        <f>Table14[[#This Row],[Quantity]]*Table14[[#This Row],[UnitPrice]]*(1-Table14[[#This Row],[Discount]])</f>
        <v>578.16999999999996</v>
      </c>
      <c r="O248" s="8">
        <f>YEAR(Table14[[#This Row],[OrderDate]])</f>
        <v>2026</v>
      </c>
      <c r="P248" s="8" t="str">
        <f>TEXT(Table14[[#This Row],[OrderDate]],"mmmm")</f>
        <v>March</v>
      </c>
      <c r="Q248" s="8" t="str">
        <f t="shared" si="9"/>
        <v>Q1</v>
      </c>
      <c r="R248" s="3">
        <f>Table14[[#This Row],[Revenue]]*25%</f>
        <v>144.54249999999999</v>
      </c>
      <c r="S248" s="3">
        <f t="shared" si="10"/>
        <v>104.07059999999998</v>
      </c>
      <c r="T248" s="14">
        <f t="shared" si="11"/>
        <v>474.09939999999995</v>
      </c>
      <c r="U248" s="3" t="str">
        <f t="array" ref="U248">_xlfn.IFS(Table14[[#This Row],[Revenue]]&gt;10000,"High",AND(Table14[[#This Row],[Revenue]]&gt;=5000,Table14[[#This Row],[Revenue]]&lt;=10000),"Medium",Table14[[#This Row],[Revenue]]&lt;5000,"Low")</f>
        <v>Low</v>
      </c>
      <c r="V248" s="3"/>
    </row>
    <row r="249" spans="1:22" x14ac:dyDescent="0.35">
      <c r="A249" s="8">
        <v>1006</v>
      </c>
      <c r="B249" s="2">
        <v>46104</v>
      </c>
      <c r="C249" t="s">
        <v>21</v>
      </c>
      <c r="D249" t="s">
        <v>28</v>
      </c>
      <c r="E249" t="s">
        <v>73</v>
      </c>
      <c r="F249" t="s">
        <v>17</v>
      </c>
      <c r="G249" t="s">
        <v>30</v>
      </c>
      <c r="H249" s="8">
        <v>8</v>
      </c>
      <c r="I249" s="8">
        <v>547.41</v>
      </c>
      <c r="J249" s="8">
        <v>0.15</v>
      </c>
      <c r="K249" s="14">
        <v>3722.39</v>
      </c>
      <c r="L249" t="s">
        <v>19</v>
      </c>
      <c r="M249" t="s">
        <v>26</v>
      </c>
      <c r="N249" s="14">
        <f>Table14[[#This Row],[Quantity]]*Table14[[#This Row],[UnitPrice]]*(1-Table14[[#This Row],[Discount]])</f>
        <v>3722.3879999999995</v>
      </c>
      <c r="O249" s="8">
        <f>YEAR(Table14[[#This Row],[OrderDate]])</f>
        <v>2026</v>
      </c>
      <c r="P249" s="8" t="str">
        <f>TEXT(Table14[[#This Row],[OrderDate]],"mmmm")</f>
        <v>March</v>
      </c>
      <c r="Q249" s="8" t="str">
        <f t="shared" si="9"/>
        <v>Q1</v>
      </c>
      <c r="R249" s="3">
        <f>Table14[[#This Row],[Revenue]]*25%</f>
        <v>930.59749999999997</v>
      </c>
      <c r="S249" s="3">
        <f t="shared" si="10"/>
        <v>670.03019999999992</v>
      </c>
      <c r="T249" s="14">
        <f t="shared" si="11"/>
        <v>3052.3598000000002</v>
      </c>
      <c r="U249" s="3" t="str">
        <f t="array" ref="U249">_xlfn.IFS(Table14[[#This Row],[Revenue]]&gt;10000,"High",AND(Table14[[#This Row],[Revenue]]&gt;=5000,Table14[[#This Row],[Revenue]]&lt;=10000),"Medium",Table14[[#This Row],[Revenue]]&lt;5000,"Low")</f>
        <v>Low</v>
      </c>
      <c r="V249" s="3"/>
    </row>
    <row r="250" spans="1:22" x14ac:dyDescent="0.35">
      <c r="A250" s="8">
        <v>1112</v>
      </c>
      <c r="B250" s="2">
        <v>46109</v>
      </c>
      <c r="C250" t="s">
        <v>43</v>
      </c>
      <c r="D250" t="s">
        <v>54</v>
      </c>
      <c r="E250" t="s">
        <v>86</v>
      </c>
      <c r="F250" t="s">
        <v>24</v>
      </c>
      <c r="G250" t="s">
        <v>25</v>
      </c>
      <c r="H250" s="8">
        <v>15</v>
      </c>
      <c r="I250" s="8">
        <v>486.43</v>
      </c>
      <c r="J250" s="8">
        <v>0.1</v>
      </c>
      <c r="K250" s="14">
        <v>6566.81</v>
      </c>
      <c r="L250" t="s">
        <v>35</v>
      </c>
      <c r="M250" t="s">
        <v>26</v>
      </c>
      <c r="N250" s="14">
        <f>Table14[[#This Row],[Quantity]]*Table14[[#This Row],[UnitPrice]]*(1-Table14[[#This Row],[Discount]])</f>
        <v>6566.8050000000003</v>
      </c>
      <c r="O250" s="8">
        <f>YEAR(Table14[[#This Row],[OrderDate]])</f>
        <v>2026</v>
      </c>
      <c r="P250" s="8" t="str">
        <f>TEXT(Table14[[#This Row],[OrderDate]],"mmmm")</f>
        <v>March</v>
      </c>
      <c r="Q250" s="8" t="str">
        <f t="shared" si="9"/>
        <v>Q1</v>
      </c>
      <c r="R250" s="3">
        <f>Table14[[#This Row],[Revenue]]*25%</f>
        <v>1641.7025000000001</v>
      </c>
      <c r="S250" s="3">
        <f t="shared" si="10"/>
        <v>1182.0258000000001</v>
      </c>
      <c r="T250" s="14">
        <f t="shared" si="11"/>
        <v>5384.7842000000001</v>
      </c>
      <c r="U250" s="3" t="str">
        <f t="array" ref="U250">_xlfn.IFS(Table14[[#This Row],[Revenue]]&gt;10000,"High",AND(Table14[[#This Row],[Revenue]]&gt;=5000,Table14[[#This Row],[Revenue]]&lt;=10000),"Medium",Table14[[#This Row],[Revenue]]&lt;5000,"Low")</f>
        <v>Medium</v>
      </c>
      <c r="V250" s="3"/>
    </row>
    <row r="251" spans="1:22" x14ac:dyDescent="0.35">
      <c r="A251" s="8">
        <v>1182</v>
      </c>
      <c r="B251" s="2">
        <v>46111</v>
      </c>
      <c r="C251" t="s">
        <v>43</v>
      </c>
      <c r="D251" t="s">
        <v>22</v>
      </c>
      <c r="E251" t="s">
        <v>87</v>
      </c>
      <c r="F251" t="s">
        <v>33</v>
      </c>
      <c r="G251" t="s">
        <v>34</v>
      </c>
      <c r="H251" s="8">
        <v>1</v>
      </c>
      <c r="I251" s="8">
        <v>679.37</v>
      </c>
      <c r="J251" s="8">
        <v>0.05</v>
      </c>
      <c r="K251" s="14">
        <v>645.4</v>
      </c>
      <c r="L251" t="s">
        <v>35</v>
      </c>
      <c r="M251" t="s">
        <v>20</v>
      </c>
      <c r="N251" s="14">
        <f>Table14[[#This Row],[Quantity]]*Table14[[#This Row],[UnitPrice]]*(1-Table14[[#This Row],[Discount]])</f>
        <v>645.40149999999994</v>
      </c>
      <c r="O251" s="8">
        <f>YEAR(Table14[[#This Row],[OrderDate]])</f>
        <v>2026</v>
      </c>
      <c r="P251" s="8" t="str">
        <f>TEXT(Table14[[#This Row],[OrderDate]],"mmmm")</f>
        <v>March</v>
      </c>
      <c r="Q251" s="8" t="str">
        <f t="shared" si="9"/>
        <v>Q1</v>
      </c>
      <c r="R251" s="3">
        <f>Table14[[#This Row],[Revenue]]*25%</f>
        <v>161.35</v>
      </c>
      <c r="S251" s="3">
        <f t="shared" si="10"/>
        <v>116.172</v>
      </c>
      <c r="T251" s="14">
        <f t="shared" si="11"/>
        <v>529.22799999999995</v>
      </c>
      <c r="U251" s="3" t="str">
        <f t="array" ref="U251">_xlfn.IFS(Table14[[#This Row],[Revenue]]&gt;10000,"High",AND(Table14[[#This Row],[Revenue]]&gt;=5000,Table14[[#This Row],[Revenue]]&lt;=10000),"Medium",Table14[[#This Row],[Revenue]]&lt;5000,"Low")</f>
        <v>Low</v>
      </c>
      <c r="V251" s="3"/>
    </row>
    <row r="252" spans="1:22" x14ac:dyDescent="0.35">
      <c r="A252" s="8">
        <v>1031</v>
      </c>
      <c r="B252" s="2">
        <v>46114</v>
      </c>
      <c r="C252" t="s">
        <v>27</v>
      </c>
      <c r="D252" t="s">
        <v>54</v>
      </c>
      <c r="E252" t="s">
        <v>42</v>
      </c>
      <c r="F252" t="s">
        <v>24</v>
      </c>
      <c r="G252" t="s">
        <v>38</v>
      </c>
      <c r="H252" s="8">
        <v>15</v>
      </c>
      <c r="I252" s="8">
        <v>1052.1300000000001</v>
      </c>
      <c r="J252" s="8">
        <v>0.1</v>
      </c>
      <c r="K252" s="14">
        <v>14203.76</v>
      </c>
      <c r="L252" t="s">
        <v>35</v>
      </c>
      <c r="M252" t="s">
        <v>20</v>
      </c>
      <c r="N252" s="14">
        <f>Table14[[#This Row],[Quantity]]*Table14[[#This Row],[UnitPrice]]*(1-Table14[[#This Row],[Discount]])</f>
        <v>14203.755000000001</v>
      </c>
      <c r="O252" s="8">
        <f>YEAR(Table14[[#This Row],[OrderDate]])</f>
        <v>2026</v>
      </c>
      <c r="P252" s="8" t="str">
        <f>TEXT(Table14[[#This Row],[OrderDate]],"mmmm")</f>
        <v>April</v>
      </c>
      <c r="Q252" s="8" t="str">
        <f t="shared" si="9"/>
        <v>Q2</v>
      </c>
      <c r="R252" s="3">
        <f>Table14[[#This Row],[Revenue]]*25%</f>
        <v>3550.94</v>
      </c>
      <c r="S252" s="3">
        <f t="shared" si="10"/>
        <v>2556.6767999999997</v>
      </c>
      <c r="T252" s="14">
        <f t="shared" si="11"/>
        <v>11647.083200000001</v>
      </c>
      <c r="U252" s="3" t="str">
        <f t="array" ref="U252">_xlfn.IFS(Table14[[#This Row],[Revenue]]&gt;10000,"High",AND(Table14[[#This Row],[Revenue]]&gt;=5000,Table14[[#This Row],[Revenue]]&lt;=10000),"Medium",Table14[[#This Row],[Revenue]]&lt;5000,"Low")</f>
        <v>High</v>
      </c>
      <c r="V252" s="3"/>
    </row>
    <row r="253" spans="1:22" x14ac:dyDescent="0.35">
      <c r="A253" s="8">
        <v>1110</v>
      </c>
      <c r="B253" s="2">
        <v>46115</v>
      </c>
      <c r="C253" t="s">
        <v>14</v>
      </c>
      <c r="D253" t="s">
        <v>47</v>
      </c>
      <c r="E253" t="s">
        <v>108</v>
      </c>
      <c r="F253" t="s">
        <v>24</v>
      </c>
      <c r="G253" t="s">
        <v>25</v>
      </c>
      <c r="H253" s="8">
        <v>2</v>
      </c>
      <c r="I253" s="8">
        <v>461.73</v>
      </c>
      <c r="J253" s="8">
        <v>0.05</v>
      </c>
      <c r="K253" s="14">
        <v>877.29</v>
      </c>
      <c r="L253" t="s">
        <v>35</v>
      </c>
      <c r="M253" t="s">
        <v>36</v>
      </c>
      <c r="N253" s="14">
        <f>Table14[[#This Row],[Quantity]]*Table14[[#This Row],[UnitPrice]]*(1-Table14[[#This Row],[Discount]])</f>
        <v>877.28700000000003</v>
      </c>
      <c r="O253" s="8">
        <f>YEAR(Table14[[#This Row],[OrderDate]])</f>
        <v>2026</v>
      </c>
      <c r="P253" s="8" t="str">
        <f>TEXT(Table14[[#This Row],[OrderDate]],"mmmm")</f>
        <v>April</v>
      </c>
      <c r="Q253" s="8" t="str">
        <f t="shared" si="9"/>
        <v>Q2</v>
      </c>
      <c r="R253" s="3">
        <f>Table14[[#This Row],[Revenue]]*25%</f>
        <v>219.32249999999999</v>
      </c>
      <c r="S253" s="3">
        <f t="shared" si="10"/>
        <v>157.91219999999998</v>
      </c>
      <c r="T253" s="14">
        <f t="shared" si="11"/>
        <v>719.37779999999998</v>
      </c>
      <c r="U253" s="3" t="str">
        <f t="array" ref="U253">_xlfn.IFS(Table14[[#This Row],[Revenue]]&gt;10000,"High",AND(Table14[[#This Row],[Revenue]]&gt;=5000,Table14[[#This Row],[Revenue]]&lt;=10000),"Medium",Table14[[#This Row],[Revenue]]&lt;5000,"Low")</f>
        <v>Low</v>
      </c>
      <c r="V253" s="3"/>
    </row>
    <row r="254" spans="1:22" x14ac:dyDescent="0.35">
      <c r="A254" s="8">
        <v>1247</v>
      </c>
      <c r="B254" s="2">
        <v>46117</v>
      </c>
      <c r="C254" t="s">
        <v>21</v>
      </c>
      <c r="D254" t="s">
        <v>15</v>
      </c>
      <c r="E254" t="s">
        <v>77</v>
      </c>
      <c r="F254" t="s">
        <v>33</v>
      </c>
      <c r="G254" t="s">
        <v>53</v>
      </c>
      <c r="H254" s="8">
        <v>9</v>
      </c>
      <c r="I254" s="8">
        <v>567.6</v>
      </c>
      <c r="J254" s="8">
        <v>0.1</v>
      </c>
      <c r="K254" s="14">
        <v>4597.5600000000004</v>
      </c>
      <c r="L254" t="s">
        <v>19</v>
      </c>
      <c r="M254" t="s">
        <v>20</v>
      </c>
      <c r="N254" s="14">
        <f>Table14[[#This Row],[Quantity]]*Table14[[#This Row],[UnitPrice]]*(1-Table14[[#This Row],[Discount]])</f>
        <v>4597.5600000000004</v>
      </c>
      <c r="O254" s="8">
        <f>YEAR(Table14[[#This Row],[OrderDate]])</f>
        <v>2026</v>
      </c>
      <c r="P254" s="8" t="str">
        <f>TEXT(Table14[[#This Row],[OrderDate]],"mmmm")</f>
        <v>April</v>
      </c>
      <c r="Q254" s="8" t="str">
        <f t="shared" si="9"/>
        <v>Q2</v>
      </c>
      <c r="R254" s="3">
        <f>Table14[[#This Row],[Revenue]]*25%</f>
        <v>1149.3900000000001</v>
      </c>
      <c r="S254" s="3">
        <f t="shared" si="10"/>
        <v>827.56080000000009</v>
      </c>
      <c r="T254" s="14">
        <f t="shared" si="11"/>
        <v>3769.9992000000002</v>
      </c>
      <c r="U254" s="3" t="str">
        <f t="array" ref="U254">_xlfn.IFS(Table14[[#This Row],[Revenue]]&gt;10000,"High",AND(Table14[[#This Row],[Revenue]]&gt;=5000,Table14[[#This Row],[Revenue]]&lt;=10000),"Medium",Table14[[#This Row],[Revenue]]&lt;5000,"Low")</f>
        <v>Low</v>
      </c>
      <c r="V254" s="3"/>
    </row>
    <row r="255" spans="1:22" x14ac:dyDescent="0.35">
      <c r="A255" s="8">
        <v>1053</v>
      </c>
      <c r="B255" s="2">
        <v>46122</v>
      </c>
      <c r="C255" t="s">
        <v>14</v>
      </c>
      <c r="D255" t="s">
        <v>54</v>
      </c>
      <c r="E255" t="s">
        <v>100</v>
      </c>
      <c r="F255" t="s">
        <v>17</v>
      </c>
      <c r="G255" t="s">
        <v>46</v>
      </c>
      <c r="H255" s="8">
        <v>6</v>
      </c>
      <c r="I255" s="8">
        <v>484.51</v>
      </c>
      <c r="J255" s="8">
        <v>0.05</v>
      </c>
      <c r="K255" s="14">
        <v>2761.71</v>
      </c>
      <c r="L255" t="s">
        <v>35</v>
      </c>
      <c r="M255" t="s">
        <v>36</v>
      </c>
      <c r="N255" s="14">
        <f>Table14[[#This Row],[Quantity]]*Table14[[#This Row],[UnitPrice]]*(1-Table14[[#This Row],[Discount]])</f>
        <v>2761.7069999999999</v>
      </c>
      <c r="O255" s="8">
        <f>YEAR(Table14[[#This Row],[OrderDate]])</f>
        <v>2026</v>
      </c>
      <c r="P255" s="8" t="str">
        <f>TEXT(Table14[[#This Row],[OrderDate]],"mmmm")</f>
        <v>April</v>
      </c>
      <c r="Q255" s="8" t="str">
        <f t="shared" si="9"/>
        <v>Q2</v>
      </c>
      <c r="R255" s="3">
        <f>Table14[[#This Row],[Revenue]]*25%</f>
        <v>690.42750000000001</v>
      </c>
      <c r="S255" s="3">
        <f t="shared" si="10"/>
        <v>497.1078</v>
      </c>
      <c r="T255" s="14">
        <f t="shared" si="11"/>
        <v>2264.6022000000003</v>
      </c>
      <c r="U255" s="3" t="str">
        <f t="array" ref="U255">_xlfn.IFS(Table14[[#This Row],[Revenue]]&gt;10000,"High",AND(Table14[[#This Row],[Revenue]]&gt;=5000,Table14[[#This Row],[Revenue]]&lt;=10000),"Medium",Table14[[#This Row],[Revenue]]&lt;5000,"Low")</f>
        <v>Low</v>
      </c>
      <c r="V255" s="3"/>
    </row>
    <row r="256" spans="1:22" x14ac:dyDescent="0.35">
      <c r="A256" s="8">
        <v>1055</v>
      </c>
      <c r="B256" s="2">
        <v>46126</v>
      </c>
      <c r="C256" t="s">
        <v>43</v>
      </c>
      <c r="D256" t="s">
        <v>31</v>
      </c>
      <c r="E256" t="s">
        <v>55</v>
      </c>
      <c r="F256" t="s">
        <v>17</v>
      </c>
      <c r="G256" t="s">
        <v>30</v>
      </c>
      <c r="H256" s="8">
        <v>15</v>
      </c>
      <c r="I256" s="8">
        <v>684.91</v>
      </c>
      <c r="J256" s="8">
        <v>0.05</v>
      </c>
      <c r="K256" s="14">
        <v>9759.9699999999993</v>
      </c>
      <c r="L256" t="s">
        <v>19</v>
      </c>
      <c r="M256" t="s">
        <v>26</v>
      </c>
      <c r="N256" s="14">
        <f>Table14[[#This Row],[Quantity]]*Table14[[#This Row],[UnitPrice]]*(1-Table14[[#This Row],[Discount]])</f>
        <v>9759.9674999999988</v>
      </c>
      <c r="O256" s="8">
        <f>YEAR(Table14[[#This Row],[OrderDate]])</f>
        <v>2026</v>
      </c>
      <c r="P256" s="8" t="str">
        <f>TEXT(Table14[[#This Row],[OrderDate]],"mmmm")</f>
        <v>April</v>
      </c>
      <c r="Q256" s="8" t="str">
        <f t="shared" si="9"/>
        <v>Q2</v>
      </c>
      <c r="R256" s="3">
        <f>Table14[[#This Row],[Revenue]]*25%</f>
        <v>2439.9924999999998</v>
      </c>
      <c r="S256" s="3">
        <f t="shared" si="10"/>
        <v>1756.7945999999997</v>
      </c>
      <c r="T256" s="14">
        <f t="shared" si="11"/>
        <v>8003.1754000000001</v>
      </c>
      <c r="U256" s="3" t="str">
        <f t="array" ref="U256">_xlfn.IFS(Table14[[#This Row],[Revenue]]&gt;10000,"High",AND(Table14[[#This Row],[Revenue]]&gt;=5000,Table14[[#This Row],[Revenue]]&lt;=10000),"Medium",Table14[[#This Row],[Revenue]]&lt;5000,"Low")</f>
        <v>Medium</v>
      </c>
      <c r="V256" s="3"/>
    </row>
    <row r="257" spans="1:22" x14ac:dyDescent="0.35">
      <c r="A257" s="8">
        <v>1158</v>
      </c>
      <c r="B257" s="2">
        <v>46131</v>
      </c>
      <c r="C257" t="s">
        <v>43</v>
      </c>
      <c r="D257" t="s">
        <v>31</v>
      </c>
      <c r="E257" t="s">
        <v>91</v>
      </c>
      <c r="F257" t="s">
        <v>24</v>
      </c>
      <c r="G257" t="s">
        <v>63</v>
      </c>
      <c r="H257" s="8">
        <v>14</v>
      </c>
      <c r="I257" s="8">
        <v>898.66</v>
      </c>
      <c r="J257" s="8">
        <v>0.1</v>
      </c>
      <c r="K257" s="14">
        <v>11323.12</v>
      </c>
      <c r="L257" t="s">
        <v>35</v>
      </c>
      <c r="M257" t="s">
        <v>36</v>
      </c>
      <c r="N257" s="14">
        <f>Table14[[#This Row],[Quantity]]*Table14[[#This Row],[UnitPrice]]*(1-Table14[[#This Row],[Discount]])</f>
        <v>11323.116</v>
      </c>
      <c r="O257" s="8">
        <f>YEAR(Table14[[#This Row],[OrderDate]])</f>
        <v>2026</v>
      </c>
      <c r="P257" s="8" t="str">
        <f>TEXT(Table14[[#This Row],[OrderDate]],"mmmm")</f>
        <v>April</v>
      </c>
      <c r="Q257" s="8" t="str">
        <f t="shared" si="9"/>
        <v>Q2</v>
      </c>
      <c r="R257" s="3">
        <f>Table14[[#This Row],[Revenue]]*25%</f>
        <v>2830.78</v>
      </c>
      <c r="S257" s="3">
        <f t="shared" si="10"/>
        <v>2038.1616000000001</v>
      </c>
      <c r="T257" s="14">
        <f t="shared" si="11"/>
        <v>9284.9584000000013</v>
      </c>
      <c r="U257" s="3" t="str">
        <f t="array" ref="U257">_xlfn.IFS(Table14[[#This Row],[Revenue]]&gt;10000,"High",AND(Table14[[#This Row],[Revenue]]&gt;=5000,Table14[[#This Row],[Revenue]]&lt;=10000),"Medium",Table14[[#This Row],[Revenue]]&lt;5000,"Low")</f>
        <v>High</v>
      </c>
      <c r="V257" s="3"/>
    </row>
    <row r="258" spans="1:22" x14ac:dyDescent="0.35">
      <c r="A258" s="8">
        <v>1181</v>
      </c>
      <c r="B258" s="2">
        <v>46131</v>
      </c>
      <c r="C258" t="s">
        <v>43</v>
      </c>
      <c r="D258" t="s">
        <v>47</v>
      </c>
      <c r="E258" t="s">
        <v>119</v>
      </c>
      <c r="F258" t="s">
        <v>17</v>
      </c>
      <c r="G258" t="s">
        <v>46</v>
      </c>
      <c r="H258" s="8">
        <v>14</v>
      </c>
      <c r="I258" s="8">
        <v>674.16</v>
      </c>
      <c r="J258" s="8">
        <v>0.1</v>
      </c>
      <c r="K258" s="14">
        <v>8494.42</v>
      </c>
      <c r="L258" t="s">
        <v>35</v>
      </c>
      <c r="M258" t="s">
        <v>26</v>
      </c>
      <c r="N258" s="14">
        <f>Table14[[#This Row],[Quantity]]*Table14[[#This Row],[UnitPrice]]*(1-Table14[[#This Row],[Discount]])</f>
        <v>8494.4159999999993</v>
      </c>
      <c r="O258" s="8">
        <f>YEAR(Table14[[#This Row],[OrderDate]])</f>
        <v>2026</v>
      </c>
      <c r="P258" s="8" t="str">
        <f>TEXT(Table14[[#This Row],[OrderDate]],"mmmm")</f>
        <v>April</v>
      </c>
      <c r="Q258" s="8" t="str">
        <f t="shared" ref="Q258:Q301" si="12">"Q"&amp;ROUNDUP(MONTH(B258)/3,0)</f>
        <v>Q2</v>
      </c>
      <c r="R258" s="3">
        <f>Table14[[#This Row],[Revenue]]*25%</f>
        <v>2123.605</v>
      </c>
      <c r="S258" s="3">
        <f t="shared" ref="S258:S301" si="13">K258*18%</f>
        <v>1528.9956</v>
      </c>
      <c r="T258" s="14">
        <f t="shared" ref="T258:T301" si="14">K258-S258</f>
        <v>6965.4243999999999</v>
      </c>
      <c r="U258" s="3" t="str">
        <f t="array" ref="U258">_xlfn.IFS(Table14[[#This Row],[Revenue]]&gt;10000,"High",AND(Table14[[#This Row],[Revenue]]&gt;=5000,Table14[[#This Row],[Revenue]]&lt;=10000),"Medium",Table14[[#This Row],[Revenue]]&lt;5000,"Low")</f>
        <v>Medium</v>
      </c>
      <c r="V258" s="3"/>
    </row>
    <row r="259" spans="1:22" x14ac:dyDescent="0.35">
      <c r="A259" s="8">
        <v>1144</v>
      </c>
      <c r="B259" s="2">
        <v>46132</v>
      </c>
      <c r="C259" t="s">
        <v>21</v>
      </c>
      <c r="D259" t="s">
        <v>22</v>
      </c>
      <c r="E259" t="s">
        <v>89</v>
      </c>
      <c r="F259" t="s">
        <v>24</v>
      </c>
      <c r="G259" t="s">
        <v>63</v>
      </c>
      <c r="H259" s="8">
        <v>4</v>
      </c>
      <c r="I259" s="8">
        <v>162.99</v>
      </c>
      <c r="J259" s="8">
        <v>0</v>
      </c>
      <c r="K259" s="14">
        <v>651.96</v>
      </c>
      <c r="L259" t="s">
        <v>19</v>
      </c>
      <c r="M259" t="s">
        <v>36</v>
      </c>
      <c r="N259" s="14">
        <f>Table14[[#This Row],[Quantity]]*Table14[[#This Row],[UnitPrice]]*(1-Table14[[#This Row],[Discount]])</f>
        <v>651.96</v>
      </c>
      <c r="O259" s="8">
        <f>YEAR(Table14[[#This Row],[OrderDate]])</f>
        <v>2026</v>
      </c>
      <c r="P259" s="8" t="str">
        <f>TEXT(Table14[[#This Row],[OrderDate]],"mmmm")</f>
        <v>April</v>
      </c>
      <c r="Q259" s="8" t="str">
        <f t="shared" si="12"/>
        <v>Q2</v>
      </c>
      <c r="R259" s="3">
        <f>Table14[[#This Row],[Revenue]]*25%</f>
        <v>162.99</v>
      </c>
      <c r="S259" s="3">
        <f t="shared" si="13"/>
        <v>117.3528</v>
      </c>
      <c r="T259" s="14">
        <f t="shared" si="14"/>
        <v>534.60720000000003</v>
      </c>
      <c r="U259" s="3" t="str">
        <f t="array" ref="U259">_xlfn.IFS(Table14[[#This Row],[Revenue]]&gt;10000,"High",AND(Table14[[#This Row],[Revenue]]&gt;=5000,Table14[[#This Row],[Revenue]]&lt;=10000),"Medium",Table14[[#This Row],[Revenue]]&lt;5000,"Low")</f>
        <v>Low</v>
      </c>
      <c r="V259" s="3"/>
    </row>
    <row r="260" spans="1:22" x14ac:dyDescent="0.35">
      <c r="A260" s="8">
        <v>1204</v>
      </c>
      <c r="B260" s="2">
        <v>46133</v>
      </c>
      <c r="C260" t="s">
        <v>14</v>
      </c>
      <c r="D260" t="s">
        <v>47</v>
      </c>
      <c r="E260" t="s">
        <v>85</v>
      </c>
      <c r="F260" t="s">
        <v>24</v>
      </c>
      <c r="G260" t="s">
        <v>38</v>
      </c>
      <c r="H260" s="8">
        <v>6</v>
      </c>
      <c r="I260" s="8">
        <v>582.33000000000004</v>
      </c>
      <c r="J260" s="8">
        <v>0.05</v>
      </c>
      <c r="K260" s="14">
        <v>3319.28</v>
      </c>
      <c r="L260" t="s">
        <v>39</v>
      </c>
      <c r="M260" t="s">
        <v>36</v>
      </c>
      <c r="N260" s="14">
        <f>Table14[[#This Row],[Quantity]]*Table14[[#This Row],[UnitPrice]]*(1-Table14[[#This Row],[Discount]])</f>
        <v>3319.2810000000004</v>
      </c>
      <c r="O260" s="8">
        <f>YEAR(Table14[[#This Row],[OrderDate]])</f>
        <v>2026</v>
      </c>
      <c r="P260" s="8" t="str">
        <f>TEXT(Table14[[#This Row],[OrderDate]],"mmmm")</f>
        <v>April</v>
      </c>
      <c r="Q260" s="8" t="str">
        <f t="shared" si="12"/>
        <v>Q2</v>
      </c>
      <c r="R260" s="3">
        <f>Table14[[#This Row],[Revenue]]*25%</f>
        <v>829.82</v>
      </c>
      <c r="S260" s="3">
        <f t="shared" si="13"/>
        <v>597.47040000000004</v>
      </c>
      <c r="T260" s="14">
        <f t="shared" si="14"/>
        <v>2721.8096</v>
      </c>
      <c r="U260" s="3" t="str">
        <f t="array" ref="U260">_xlfn.IFS(Table14[[#This Row],[Revenue]]&gt;10000,"High",AND(Table14[[#This Row],[Revenue]]&gt;=5000,Table14[[#This Row],[Revenue]]&lt;=10000),"Medium",Table14[[#This Row],[Revenue]]&lt;5000,"Low")</f>
        <v>Low</v>
      </c>
      <c r="V260" s="3"/>
    </row>
    <row r="261" spans="1:22" x14ac:dyDescent="0.35">
      <c r="A261" s="8">
        <v>1074</v>
      </c>
      <c r="B261" s="2">
        <v>46141</v>
      </c>
      <c r="C261" t="s">
        <v>21</v>
      </c>
      <c r="D261" t="s">
        <v>31</v>
      </c>
      <c r="E261" t="s">
        <v>111</v>
      </c>
      <c r="F261" t="s">
        <v>24</v>
      </c>
      <c r="G261" t="s">
        <v>38</v>
      </c>
      <c r="H261" s="8">
        <v>3</v>
      </c>
      <c r="I261" s="8">
        <v>209.76</v>
      </c>
      <c r="J261" s="8">
        <v>0.1</v>
      </c>
      <c r="K261" s="14">
        <v>566.35</v>
      </c>
      <c r="L261" t="s">
        <v>39</v>
      </c>
      <c r="M261" t="s">
        <v>26</v>
      </c>
      <c r="N261" s="14">
        <f>Table14[[#This Row],[Quantity]]*Table14[[#This Row],[UnitPrice]]*(1-Table14[[#This Row],[Discount]])</f>
        <v>566.35199999999998</v>
      </c>
      <c r="O261" s="8">
        <f>YEAR(Table14[[#This Row],[OrderDate]])</f>
        <v>2026</v>
      </c>
      <c r="P261" s="8" t="str">
        <f>TEXT(Table14[[#This Row],[OrderDate]],"mmmm")</f>
        <v>April</v>
      </c>
      <c r="Q261" s="8" t="str">
        <f t="shared" si="12"/>
        <v>Q2</v>
      </c>
      <c r="R261" s="3">
        <f>Table14[[#This Row],[Revenue]]*25%</f>
        <v>141.58750000000001</v>
      </c>
      <c r="S261" s="3">
        <f t="shared" si="13"/>
        <v>101.943</v>
      </c>
      <c r="T261" s="14">
        <f t="shared" si="14"/>
        <v>464.40700000000004</v>
      </c>
      <c r="U261" s="3" t="str">
        <f t="array" ref="U261">_xlfn.IFS(Table14[[#This Row],[Revenue]]&gt;10000,"High",AND(Table14[[#This Row],[Revenue]]&gt;=5000,Table14[[#This Row],[Revenue]]&lt;=10000),"Medium",Table14[[#This Row],[Revenue]]&lt;5000,"Low")</f>
        <v>Low</v>
      </c>
      <c r="V261" s="3"/>
    </row>
    <row r="262" spans="1:22" x14ac:dyDescent="0.35">
      <c r="A262" s="8">
        <v>1029</v>
      </c>
      <c r="B262" s="2">
        <v>46144</v>
      </c>
      <c r="C262" t="s">
        <v>27</v>
      </c>
      <c r="D262" t="s">
        <v>31</v>
      </c>
      <c r="E262" t="s">
        <v>114</v>
      </c>
      <c r="F262" t="s">
        <v>33</v>
      </c>
      <c r="G262" t="s">
        <v>34</v>
      </c>
      <c r="I262" s="8">
        <v>213.59</v>
      </c>
      <c r="J262" s="8">
        <v>0</v>
      </c>
      <c r="K262" s="14">
        <v>1067.95</v>
      </c>
      <c r="L262" t="s">
        <v>19</v>
      </c>
      <c r="M262" t="s">
        <v>36</v>
      </c>
      <c r="N262" s="14">
        <f>Table14[[#This Row],[Quantity]]*Table14[[#This Row],[UnitPrice]]*(1-Table14[[#This Row],[Discount]])</f>
        <v>0</v>
      </c>
      <c r="O262" s="8">
        <f>YEAR(Table14[[#This Row],[OrderDate]])</f>
        <v>2026</v>
      </c>
      <c r="P262" s="8" t="str">
        <f>TEXT(Table14[[#This Row],[OrderDate]],"mmmm")</f>
        <v>May</v>
      </c>
      <c r="Q262" s="8" t="str">
        <f t="shared" si="12"/>
        <v>Q2</v>
      </c>
      <c r="R262" s="3">
        <f>Table14[[#This Row],[Revenue]]*25%</f>
        <v>266.98750000000001</v>
      </c>
      <c r="S262" s="3">
        <f t="shared" si="13"/>
        <v>192.23099999999999</v>
      </c>
      <c r="T262" s="14">
        <f t="shared" si="14"/>
        <v>875.71900000000005</v>
      </c>
      <c r="U262" s="3" t="str">
        <f t="array" ref="U262">_xlfn.IFS(Table14[[#This Row],[Revenue]]&gt;10000,"High",AND(Table14[[#This Row],[Revenue]]&gt;=5000,Table14[[#This Row],[Revenue]]&lt;=10000),"Medium",Table14[[#This Row],[Revenue]]&lt;5000,"Low")</f>
        <v>Low</v>
      </c>
      <c r="V262" s="3"/>
    </row>
    <row r="263" spans="1:22" x14ac:dyDescent="0.35">
      <c r="A263" s="8">
        <v>1035</v>
      </c>
      <c r="B263" s="2">
        <v>46144</v>
      </c>
      <c r="C263" t="s">
        <v>43</v>
      </c>
      <c r="D263" t="s">
        <v>31</v>
      </c>
      <c r="E263" t="s">
        <v>103</v>
      </c>
      <c r="F263" t="s">
        <v>17</v>
      </c>
      <c r="G263" t="s">
        <v>30</v>
      </c>
      <c r="H263">
        <v>5</v>
      </c>
      <c r="I263" s="8">
        <v>740.88</v>
      </c>
      <c r="J263" s="8">
        <v>0.1</v>
      </c>
      <c r="K263" s="14">
        <v>3333.96</v>
      </c>
      <c r="L263" t="s">
        <v>39</v>
      </c>
      <c r="M263" t="s">
        <v>26</v>
      </c>
      <c r="N263" s="14">
        <f>Table14[[#This Row],[Quantity]]*Table14[[#This Row],[UnitPrice]]*(1-Table14[[#This Row],[Discount]])</f>
        <v>3333.96</v>
      </c>
      <c r="O263" s="8">
        <f>YEAR(Table14[[#This Row],[OrderDate]])</f>
        <v>2026</v>
      </c>
      <c r="P263" s="8" t="str">
        <f>TEXT(Table14[[#This Row],[OrderDate]],"mmmm")</f>
        <v>May</v>
      </c>
      <c r="Q263" s="8" t="str">
        <f t="shared" si="12"/>
        <v>Q2</v>
      </c>
      <c r="R263" s="3">
        <f>Table14[[#This Row],[Revenue]]*25%</f>
        <v>833.49</v>
      </c>
      <c r="S263" s="3">
        <f t="shared" si="13"/>
        <v>600.11279999999999</v>
      </c>
      <c r="T263" s="14">
        <f t="shared" si="14"/>
        <v>2733.8472000000002</v>
      </c>
      <c r="U263" s="3" t="str">
        <f t="array" ref="U263">_xlfn.IFS(Table14[[#This Row],[Revenue]]&gt;10000,"High",AND(Table14[[#This Row],[Revenue]]&gt;=5000,Table14[[#This Row],[Revenue]]&lt;=10000),"Medium",Table14[[#This Row],[Revenue]]&lt;5000,"Low")</f>
        <v>Low</v>
      </c>
      <c r="V263" s="3"/>
    </row>
    <row r="264" spans="1:22" x14ac:dyDescent="0.35">
      <c r="A264" s="8">
        <v>1043</v>
      </c>
      <c r="B264" s="2">
        <v>46145</v>
      </c>
      <c r="C264" t="s">
        <v>14</v>
      </c>
      <c r="D264" t="s">
        <v>31</v>
      </c>
      <c r="E264" t="s">
        <v>72</v>
      </c>
      <c r="F264" t="s">
        <v>24</v>
      </c>
      <c r="G264" t="s">
        <v>63</v>
      </c>
      <c r="H264">
        <v>2</v>
      </c>
      <c r="I264" s="8">
        <v>597.08000000000004</v>
      </c>
      <c r="J264" s="8">
        <v>0.15</v>
      </c>
      <c r="K264" s="14">
        <v>1015.04</v>
      </c>
      <c r="L264" t="s">
        <v>35</v>
      </c>
      <c r="M264" t="s">
        <v>36</v>
      </c>
      <c r="N264" s="14">
        <f>Table14[[#This Row],[Quantity]]*Table14[[#This Row],[UnitPrice]]*(1-Table14[[#This Row],[Discount]])</f>
        <v>1015.0360000000001</v>
      </c>
      <c r="O264" s="8">
        <f>YEAR(Table14[[#This Row],[OrderDate]])</f>
        <v>2026</v>
      </c>
      <c r="P264" s="8" t="str">
        <f>TEXT(Table14[[#This Row],[OrderDate]],"mmmm")</f>
        <v>May</v>
      </c>
      <c r="Q264" s="8" t="str">
        <f t="shared" si="12"/>
        <v>Q2</v>
      </c>
      <c r="R264" s="3">
        <f>Table14[[#This Row],[Revenue]]*25%</f>
        <v>253.76</v>
      </c>
      <c r="S264" s="3">
        <f t="shared" si="13"/>
        <v>182.7072</v>
      </c>
      <c r="T264" s="14">
        <f t="shared" si="14"/>
        <v>832.33279999999991</v>
      </c>
      <c r="U264" s="3" t="str">
        <f t="array" ref="U264">_xlfn.IFS(Table14[[#This Row],[Revenue]]&gt;10000,"High",AND(Table14[[#This Row],[Revenue]]&gt;=5000,Table14[[#This Row],[Revenue]]&lt;=10000),"Medium",Table14[[#This Row],[Revenue]]&lt;5000,"Low")</f>
        <v>Low</v>
      </c>
      <c r="V264" s="3"/>
    </row>
    <row r="265" spans="1:22" x14ac:dyDescent="0.35">
      <c r="A265" s="8">
        <v>1261</v>
      </c>
      <c r="B265" s="2">
        <v>46145</v>
      </c>
      <c r="C265" t="s">
        <v>14</v>
      </c>
      <c r="D265" t="s">
        <v>47</v>
      </c>
      <c r="E265" t="s">
        <v>108</v>
      </c>
      <c r="F265" t="s">
        <v>17</v>
      </c>
      <c r="G265" t="s">
        <v>18</v>
      </c>
      <c r="H265">
        <v>1</v>
      </c>
      <c r="I265" s="8">
        <v>993.21</v>
      </c>
      <c r="J265" s="8">
        <v>0.1</v>
      </c>
      <c r="K265" s="14">
        <v>893.89</v>
      </c>
      <c r="L265" t="s">
        <v>19</v>
      </c>
      <c r="M265" t="s">
        <v>36</v>
      </c>
      <c r="N265" s="14">
        <f>Table14[[#This Row],[Quantity]]*Table14[[#This Row],[UnitPrice]]*(1-Table14[[#This Row],[Discount]])</f>
        <v>893.88900000000001</v>
      </c>
      <c r="O265" s="8">
        <f>YEAR(Table14[[#This Row],[OrderDate]])</f>
        <v>2026</v>
      </c>
      <c r="P265" s="8" t="str">
        <f>TEXT(Table14[[#This Row],[OrderDate]],"mmmm")</f>
        <v>May</v>
      </c>
      <c r="Q265" s="8" t="str">
        <f t="shared" si="12"/>
        <v>Q2</v>
      </c>
      <c r="R265" s="3">
        <f>Table14[[#This Row],[Revenue]]*25%</f>
        <v>223.4725</v>
      </c>
      <c r="S265" s="3">
        <f t="shared" si="13"/>
        <v>160.90019999999998</v>
      </c>
      <c r="T265" s="14">
        <f t="shared" si="14"/>
        <v>732.98980000000006</v>
      </c>
      <c r="U265" s="3" t="str">
        <f t="array" ref="U265">_xlfn.IFS(Table14[[#This Row],[Revenue]]&gt;10000,"High",AND(Table14[[#This Row],[Revenue]]&gt;=5000,Table14[[#This Row],[Revenue]]&lt;=10000),"Medium",Table14[[#This Row],[Revenue]]&lt;5000,"Low")</f>
        <v>Low</v>
      </c>
      <c r="V265" s="3"/>
    </row>
    <row r="266" spans="1:22" x14ac:dyDescent="0.35">
      <c r="A266" s="8">
        <v>1001</v>
      </c>
      <c r="B266" s="2">
        <v>46146</v>
      </c>
      <c r="C266" t="s">
        <v>21</v>
      </c>
      <c r="D266" t="s">
        <v>15</v>
      </c>
      <c r="E266" t="s">
        <v>94</v>
      </c>
      <c r="F266" t="s">
        <v>17</v>
      </c>
      <c r="G266" t="s">
        <v>30</v>
      </c>
      <c r="H266" s="8">
        <v>4</v>
      </c>
      <c r="I266" s="8">
        <v>424.95</v>
      </c>
      <c r="J266" s="8">
        <v>0.1</v>
      </c>
      <c r="K266" s="14">
        <v>1529.82</v>
      </c>
      <c r="L266" t="s">
        <v>35</v>
      </c>
      <c r="M266" t="s">
        <v>26</v>
      </c>
      <c r="N266" s="14">
        <f>Table14[[#This Row],[Quantity]]*Table14[[#This Row],[UnitPrice]]*(1-Table14[[#This Row],[Discount]])</f>
        <v>1529.82</v>
      </c>
      <c r="O266" s="8">
        <f>YEAR(Table14[[#This Row],[OrderDate]])</f>
        <v>2026</v>
      </c>
      <c r="P266" s="8" t="str">
        <f>TEXT(Table14[[#This Row],[OrderDate]],"mmmm")</f>
        <v>May</v>
      </c>
      <c r="Q266" s="8" t="str">
        <f t="shared" si="12"/>
        <v>Q2</v>
      </c>
      <c r="R266" s="3">
        <f>Table14[[#This Row],[Revenue]]*25%</f>
        <v>382.45499999999998</v>
      </c>
      <c r="S266" s="3">
        <f t="shared" si="13"/>
        <v>275.36759999999998</v>
      </c>
      <c r="T266" s="14">
        <f t="shared" si="14"/>
        <v>1254.4523999999999</v>
      </c>
      <c r="U266" s="3" t="str">
        <f t="array" ref="U266">_xlfn.IFS(Table14[[#This Row],[Revenue]]&gt;10000,"High",AND(Table14[[#This Row],[Revenue]]&gt;=5000,Table14[[#This Row],[Revenue]]&lt;=10000),"Medium",Table14[[#This Row],[Revenue]]&lt;5000,"Low")</f>
        <v>Low</v>
      </c>
      <c r="V266" s="3"/>
    </row>
    <row r="267" spans="1:22" x14ac:dyDescent="0.35">
      <c r="A267" s="8">
        <v>1244</v>
      </c>
      <c r="B267" s="2">
        <v>46146</v>
      </c>
      <c r="C267" t="s">
        <v>14</v>
      </c>
      <c r="D267" t="s">
        <v>31</v>
      </c>
      <c r="E267" t="s">
        <v>65</v>
      </c>
      <c r="F267" t="s">
        <v>24</v>
      </c>
      <c r="G267" t="s">
        <v>25</v>
      </c>
      <c r="H267">
        <v>8</v>
      </c>
      <c r="I267" s="8">
        <v>790.57</v>
      </c>
      <c r="J267" s="8">
        <v>0</v>
      </c>
      <c r="K267" s="14">
        <v>6324.56</v>
      </c>
      <c r="L267" t="s">
        <v>39</v>
      </c>
      <c r="M267" t="s">
        <v>26</v>
      </c>
      <c r="N267" s="14">
        <f>Table14[[#This Row],[Quantity]]*Table14[[#This Row],[UnitPrice]]*(1-Table14[[#This Row],[Discount]])</f>
        <v>6324.56</v>
      </c>
      <c r="O267" s="8">
        <f>YEAR(Table14[[#This Row],[OrderDate]])</f>
        <v>2026</v>
      </c>
      <c r="P267" s="8" t="str">
        <f>TEXT(Table14[[#This Row],[OrderDate]],"mmmm")</f>
        <v>May</v>
      </c>
      <c r="Q267" s="8" t="str">
        <f t="shared" si="12"/>
        <v>Q2</v>
      </c>
      <c r="R267" s="3">
        <f>Table14[[#This Row],[Revenue]]*25%</f>
        <v>1581.14</v>
      </c>
      <c r="S267" s="3">
        <f t="shared" si="13"/>
        <v>1138.4208000000001</v>
      </c>
      <c r="T267" s="14">
        <f t="shared" si="14"/>
        <v>5186.1392000000005</v>
      </c>
      <c r="U267" s="3" t="str">
        <f t="array" ref="U267">_xlfn.IFS(Table14[[#This Row],[Revenue]]&gt;10000,"High",AND(Table14[[#This Row],[Revenue]]&gt;=5000,Table14[[#This Row],[Revenue]]&lt;=10000),"Medium",Table14[[#This Row],[Revenue]]&lt;5000,"Low")</f>
        <v>Medium</v>
      </c>
      <c r="V267" s="3"/>
    </row>
    <row r="268" spans="1:22" x14ac:dyDescent="0.35">
      <c r="A268" s="8">
        <v>1230</v>
      </c>
      <c r="B268" s="2">
        <v>46149</v>
      </c>
      <c r="C268" t="s">
        <v>21</v>
      </c>
      <c r="D268" t="s">
        <v>31</v>
      </c>
      <c r="E268" t="s">
        <v>45</v>
      </c>
      <c r="F268" t="s">
        <v>33</v>
      </c>
      <c r="G268" t="s">
        <v>53</v>
      </c>
      <c r="H268">
        <v>12</v>
      </c>
      <c r="I268" s="8">
        <v>897.6</v>
      </c>
      <c r="J268" s="8">
        <v>0</v>
      </c>
      <c r="K268" s="14">
        <v>10771.2</v>
      </c>
      <c r="L268" t="s">
        <v>19</v>
      </c>
      <c r="M268" t="s">
        <v>36</v>
      </c>
      <c r="N268" s="14">
        <f>Table14[[#This Row],[Quantity]]*Table14[[#This Row],[UnitPrice]]*(1-Table14[[#This Row],[Discount]])</f>
        <v>10771.2</v>
      </c>
      <c r="O268" s="8">
        <f>YEAR(Table14[[#This Row],[OrderDate]])</f>
        <v>2026</v>
      </c>
      <c r="P268" s="8" t="str">
        <f>TEXT(Table14[[#This Row],[OrderDate]],"mmmm")</f>
        <v>May</v>
      </c>
      <c r="Q268" s="8" t="str">
        <f t="shared" si="12"/>
        <v>Q2</v>
      </c>
      <c r="R268" s="3">
        <f>Table14[[#This Row],[Revenue]]*25%</f>
        <v>2692.8</v>
      </c>
      <c r="S268" s="3">
        <f t="shared" si="13"/>
        <v>1938.816</v>
      </c>
      <c r="T268" s="14">
        <f t="shared" si="14"/>
        <v>8832.384</v>
      </c>
      <c r="U268" s="3" t="str">
        <f t="array" ref="U268">_xlfn.IFS(Table14[[#This Row],[Revenue]]&gt;10000,"High",AND(Table14[[#This Row],[Revenue]]&gt;=5000,Table14[[#This Row],[Revenue]]&lt;=10000),"Medium",Table14[[#This Row],[Revenue]]&lt;5000,"Low")</f>
        <v>High</v>
      </c>
      <c r="V268" s="3"/>
    </row>
    <row r="269" spans="1:22" x14ac:dyDescent="0.35">
      <c r="A269" s="8">
        <v>1290</v>
      </c>
      <c r="B269" s="2">
        <v>46150</v>
      </c>
      <c r="C269" t="s">
        <v>27</v>
      </c>
      <c r="D269" t="s">
        <v>22</v>
      </c>
      <c r="E269" t="s">
        <v>121</v>
      </c>
      <c r="F269" t="s">
        <v>17</v>
      </c>
      <c r="G269" t="s">
        <v>30</v>
      </c>
      <c r="H269">
        <v>1</v>
      </c>
      <c r="I269" s="8">
        <v>759.55</v>
      </c>
      <c r="J269" s="8">
        <v>0.05</v>
      </c>
      <c r="K269" s="14">
        <v>721.57</v>
      </c>
      <c r="L269" t="s">
        <v>35</v>
      </c>
      <c r="M269" t="s">
        <v>20</v>
      </c>
      <c r="N269" s="14">
        <f>Table14[[#This Row],[Quantity]]*Table14[[#This Row],[UnitPrice]]*(1-Table14[[#This Row],[Discount]])</f>
        <v>721.57249999999988</v>
      </c>
      <c r="O269" s="8">
        <f>YEAR(Table14[[#This Row],[OrderDate]])</f>
        <v>2026</v>
      </c>
      <c r="P269" s="8" t="str">
        <f>TEXT(Table14[[#This Row],[OrderDate]],"mmmm")</f>
        <v>May</v>
      </c>
      <c r="Q269" s="8" t="str">
        <f t="shared" si="12"/>
        <v>Q2</v>
      </c>
      <c r="R269" s="3">
        <f>Table14[[#This Row],[Revenue]]*25%</f>
        <v>180.39250000000001</v>
      </c>
      <c r="S269" s="3">
        <f t="shared" si="13"/>
        <v>129.8826</v>
      </c>
      <c r="T269" s="14">
        <f t="shared" si="14"/>
        <v>591.68740000000003</v>
      </c>
      <c r="U269" s="3" t="str">
        <f t="array" ref="U269">_xlfn.IFS(Table14[[#This Row],[Revenue]]&gt;10000,"High",AND(Table14[[#This Row],[Revenue]]&gt;=5000,Table14[[#This Row],[Revenue]]&lt;=10000),"Medium",Table14[[#This Row],[Revenue]]&lt;5000,"Low")</f>
        <v>Low</v>
      </c>
      <c r="V269" s="3"/>
    </row>
    <row r="270" spans="1:22" x14ac:dyDescent="0.35">
      <c r="A270" s="8">
        <v>1186</v>
      </c>
      <c r="B270" s="2">
        <v>46155</v>
      </c>
      <c r="C270" t="s">
        <v>27</v>
      </c>
      <c r="D270" t="s">
        <v>15</v>
      </c>
      <c r="E270" t="s">
        <v>41</v>
      </c>
      <c r="F270" t="s">
        <v>33</v>
      </c>
      <c r="G270" t="s">
        <v>61</v>
      </c>
      <c r="H270">
        <v>6</v>
      </c>
      <c r="I270" s="8">
        <v>360.82</v>
      </c>
      <c r="J270" s="8">
        <v>0.15</v>
      </c>
      <c r="K270" s="14">
        <v>1840.18</v>
      </c>
      <c r="L270" t="s">
        <v>39</v>
      </c>
      <c r="M270" t="s">
        <v>20</v>
      </c>
      <c r="N270" s="14">
        <f>Table14[[#This Row],[Quantity]]*Table14[[#This Row],[UnitPrice]]*(1-Table14[[#This Row],[Discount]])</f>
        <v>1840.182</v>
      </c>
      <c r="O270" s="8">
        <f>YEAR(Table14[[#This Row],[OrderDate]])</f>
        <v>2026</v>
      </c>
      <c r="P270" s="8" t="str">
        <f>TEXT(Table14[[#This Row],[OrderDate]],"mmmm")</f>
        <v>May</v>
      </c>
      <c r="Q270" s="8" t="str">
        <f t="shared" si="12"/>
        <v>Q2</v>
      </c>
      <c r="R270" s="3">
        <f>Table14[[#This Row],[Revenue]]*25%</f>
        <v>460.04500000000002</v>
      </c>
      <c r="S270" s="3">
        <f t="shared" si="13"/>
        <v>331.23239999999998</v>
      </c>
      <c r="T270" s="14">
        <f t="shared" si="14"/>
        <v>1508.9476</v>
      </c>
      <c r="U270" s="3" t="str">
        <f t="array" ref="U270">_xlfn.IFS(Table14[[#This Row],[Revenue]]&gt;10000,"High",AND(Table14[[#This Row],[Revenue]]&gt;=5000,Table14[[#This Row],[Revenue]]&lt;=10000),"Medium",Table14[[#This Row],[Revenue]]&lt;5000,"Low")</f>
        <v>Low</v>
      </c>
      <c r="V270" s="3"/>
    </row>
    <row r="271" spans="1:22" x14ac:dyDescent="0.35">
      <c r="A271" s="8">
        <v>1141</v>
      </c>
      <c r="B271" s="2">
        <v>46156</v>
      </c>
      <c r="C271" t="s">
        <v>43</v>
      </c>
      <c r="D271" t="s">
        <v>31</v>
      </c>
      <c r="E271" t="s">
        <v>40</v>
      </c>
      <c r="F271" t="s">
        <v>24</v>
      </c>
      <c r="G271" t="s">
        <v>63</v>
      </c>
      <c r="H271">
        <v>2</v>
      </c>
      <c r="I271" s="8">
        <v>1069</v>
      </c>
      <c r="J271" s="8">
        <v>0.1</v>
      </c>
      <c r="K271" s="14">
        <v>1924.2</v>
      </c>
      <c r="L271" t="s">
        <v>39</v>
      </c>
      <c r="M271" t="s">
        <v>26</v>
      </c>
      <c r="N271" s="14">
        <f>Table14[[#This Row],[Quantity]]*Table14[[#This Row],[UnitPrice]]*(1-Table14[[#This Row],[Discount]])</f>
        <v>1924.2</v>
      </c>
      <c r="O271" s="8">
        <f>YEAR(Table14[[#This Row],[OrderDate]])</f>
        <v>2026</v>
      </c>
      <c r="P271" s="8" t="str">
        <f>TEXT(Table14[[#This Row],[OrderDate]],"mmmm")</f>
        <v>May</v>
      </c>
      <c r="Q271" s="8" t="str">
        <f t="shared" si="12"/>
        <v>Q2</v>
      </c>
      <c r="R271" s="3">
        <f>Table14[[#This Row],[Revenue]]*25%</f>
        <v>481.05</v>
      </c>
      <c r="S271" s="3">
        <f t="shared" si="13"/>
        <v>346.35599999999999</v>
      </c>
      <c r="T271" s="14">
        <f t="shared" si="14"/>
        <v>1577.8440000000001</v>
      </c>
      <c r="U271" s="3" t="str">
        <f t="array" ref="U271">_xlfn.IFS(Table14[[#This Row],[Revenue]]&gt;10000,"High",AND(Table14[[#This Row],[Revenue]]&gt;=5000,Table14[[#This Row],[Revenue]]&lt;=10000),"Medium",Table14[[#This Row],[Revenue]]&lt;5000,"Low")</f>
        <v>Low</v>
      </c>
      <c r="V271" s="3"/>
    </row>
    <row r="272" spans="1:22" x14ac:dyDescent="0.35">
      <c r="A272" s="8">
        <v>1194</v>
      </c>
      <c r="B272" s="2">
        <v>46158</v>
      </c>
      <c r="C272" t="s">
        <v>27</v>
      </c>
      <c r="D272" t="s">
        <v>15</v>
      </c>
      <c r="E272" t="s">
        <v>91</v>
      </c>
      <c r="F272" t="s">
        <v>33</v>
      </c>
      <c r="G272" t="s">
        <v>61</v>
      </c>
      <c r="H272">
        <v>6</v>
      </c>
      <c r="I272" s="8">
        <v>1041.3</v>
      </c>
      <c r="J272" s="8">
        <v>0.15</v>
      </c>
      <c r="K272" s="14">
        <v>5310.63</v>
      </c>
      <c r="L272" t="s">
        <v>19</v>
      </c>
      <c r="M272" t="s">
        <v>36</v>
      </c>
      <c r="N272" s="14">
        <f>Table14[[#This Row],[Quantity]]*Table14[[#This Row],[UnitPrice]]*(1-Table14[[#This Row],[Discount]])</f>
        <v>5310.6299999999992</v>
      </c>
      <c r="O272" s="8">
        <f>YEAR(Table14[[#This Row],[OrderDate]])</f>
        <v>2026</v>
      </c>
      <c r="P272" s="8" t="str">
        <f>TEXT(Table14[[#This Row],[OrderDate]],"mmmm")</f>
        <v>May</v>
      </c>
      <c r="Q272" s="8" t="str">
        <f t="shared" si="12"/>
        <v>Q2</v>
      </c>
      <c r="R272" s="3">
        <f>Table14[[#This Row],[Revenue]]*25%</f>
        <v>1327.6575</v>
      </c>
      <c r="S272" s="3">
        <f t="shared" si="13"/>
        <v>955.91340000000002</v>
      </c>
      <c r="T272" s="14">
        <f t="shared" si="14"/>
        <v>4354.7165999999997</v>
      </c>
      <c r="U272" s="3" t="str">
        <f t="array" ref="U272">_xlfn.IFS(Table14[[#This Row],[Revenue]]&gt;10000,"High",AND(Table14[[#This Row],[Revenue]]&gt;=5000,Table14[[#This Row],[Revenue]]&lt;=10000),"Medium",Table14[[#This Row],[Revenue]]&lt;5000,"Low")</f>
        <v>Medium</v>
      </c>
      <c r="V272" s="3"/>
    </row>
    <row r="273" spans="1:22" x14ac:dyDescent="0.35">
      <c r="A273" s="8">
        <v>1004</v>
      </c>
      <c r="B273" s="2">
        <v>46159</v>
      </c>
      <c r="C273" t="s">
        <v>14</v>
      </c>
      <c r="D273" t="s">
        <v>22</v>
      </c>
      <c r="E273" t="s">
        <v>116</v>
      </c>
      <c r="F273" t="s">
        <v>17</v>
      </c>
      <c r="G273" t="s">
        <v>46</v>
      </c>
      <c r="H273" s="8">
        <v>15</v>
      </c>
      <c r="I273" s="8">
        <v>874.8</v>
      </c>
      <c r="J273" s="8">
        <v>0.1</v>
      </c>
      <c r="K273" s="14">
        <v>11809.8</v>
      </c>
      <c r="L273" t="s">
        <v>35</v>
      </c>
      <c r="M273" t="s">
        <v>26</v>
      </c>
      <c r="N273" s="14">
        <f>Table14[[#This Row],[Quantity]]*Table14[[#This Row],[UnitPrice]]*(1-Table14[[#This Row],[Discount]])</f>
        <v>11809.800000000001</v>
      </c>
      <c r="O273" s="8">
        <f>YEAR(Table14[[#This Row],[OrderDate]])</f>
        <v>2026</v>
      </c>
      <c r="P273" s="8" t="str">
        <f>TEXT(Table14[[#This Row],[OrderDate]],"mmmm")</f>
        <v>May</v>
      </c>
      <c r="Q273" s="8" t="str">
        <f t="shared" si="12"/>
        <v>Q2</v>
      </c>
      <c r="R273" s="3">
        <f>Table14[[#This Row],[Revenue]]*25%</f>
        <v>2952.45</v>
      </c>
      <c r="S273" s="3">
        <f t="shared" si="13"/>
        <v>2125.7639999999997</v>
      </c>
      <c r="T273" s="14">
        <f t="shared" si="14"/>
        <v>9684.0360000000001</v>
      </c>
      <c r="U273" s="3" t="str">
        <f t="array" ref="U273">_xlfn.IFS(Table14[[#This Row],[Revenue]]&gt;10000,"High",AND(Table14[[#This Row],[Revenue]]&gt;=5000,Table14[[#This Row],[Revenue]]&lt;=10000),"Medium",Table14[[#This Row],[Revenue]]&lt;5000,"Low")</f>
        <v>High</v>
      </c>
      <c r="V273" s="3"/>
    </row>
    <row r="274" spans="1:22" x14ac:dyDescent="0.35">
      <c r="A274" s="8">
        <v>1167</v>
      </c>
      <c r="B274" s="2">
        <v>46160</v>
      </c>
      <c r="C274" t="s">
        <v>43</v>
      </c>
      <c r="D274" t="s">
        <v>15</v>
      </c>
      <c r="E274" t="s">
        <v>97</v>
      </c>
      <c r="F274" t="s">
        <v>17</v>
      </c>
      <c r="G274" t="s">
        <v>30</v>
      </c>
      <c r="H274">
        <v>8</v>
      </c>
      <c r="I274" s="8">
        <v>946.07</v>
      </c>
      <c r="J274" s="8">
        <v>0</v>
      </c>
      <c r="K274" s="14">
        <v>7568.56</v>
      </c>
      <c r="L274" t="s">
        <v>39</v>
      </c>
      <c r="M274" t="s">
        <v>36</v>
      </c>
      <c r="N274" s="14">
        <f>Table14[[#This Row],[Quantity]]*Table14[[#This Row],[UnitPrice]]*(1-Table14[[#This Row],[Discount]])</f>
        <v>7568.56</v>
      </c>
      <c r="O274" s="8">
        <f>YEAR(Table14[[#This Row],[OrderDate]])</f>
        <v>2026</v>
      </c>
      <c r="P274" s="8" t="str">
        <f>TEXT(Table14[[#This Row],[OrderDate]],"mmmm")</f>
        <v>May</v>
      </c>
      <c r="Q274" s="8" t="str">
        <f t="shared" si="12"/>
        <v>Q2</v>
      </c>
      <c r="R274" s="3">
        <f>Table14[[#This Row],[Revenue]]*25%</f>
        <v>1892.14</v>
      </c>
      <c r="S274" s="3">
        <f t="shared" si="13"/>
        <v>1362.3407999999999</v>
      </c>
      <c r="T274" s="14">
        <f t="shared" si="14"/>
        <v>6206.2192000000005</v>
      </c>
      <c r="U274" s="3" t="str">
        <f t="array" ref="U274">_xlfn.IFS(Table14[[#This Row],[Revenue]]&gt;10000,"High",AND(Table14[[#This Row],[Revenue]]&gt;=5000,Table14[[#This Row],[Revenue]]&lt;=10000),"Medium",Table14[[#This Row],[Revenue]]&lt;5000,"Low")</f>
        <v>Medium</v>
      </c>
      <c r="V274" s="3"/>
    </row>
    <row r="275" spans="1:22" x14ac:dyDescent="0.35">
      <c r="A275" s="8">
        <v>1208</v>
      </c>
      <c r="B275" s="2">
        <v>46160</v>
      </c>
      <c r="C275" t="s">
        <v>27</v>
      </c>
      <c r="D275" t="s">
        <v>54</v>
      </c>
      <c r="E275" t="s">
        <v>108</v>
      </c>
      <c r="F275" t="s">
        <v>17</v>
      </c>
      <c r="G275" t="s">
        <v>46</v>
      </c>
      <c r="H275">
        <v>7</v>
      </c>
      <c r="I275" s="8">
        <v>1027.21</v>
      </c>
      <c r="J275" s="8">
        <v>0.1</v>
      </c>
      <c r="K275" s="14">
        <v>6471.42</v>
      </c>
      <c r="L275" t="s">
        <v>39</v>
      </c>
      <c r="M275" t="s">
        <v>26</v>
      </c>
      <c r="N275" s="14">
        <f>Table14[[#This Row],[Quantity]]*Table14[[#This Row],[UnitPrice]]*(1-Table14[[#This Row],[Discount]])</f>
        <v>6471.4230000000007</v>
      </c>
      <c r="O275" s="8">
        <f>YEAR(Table14[[#This Row],[OrderDate]])</f>
        <v>2026</v>
      </c>
      <c r="P275" s="8" t="str">
        <f>TEXT(Table14[[#This Row],[OrderDate]],"mmmm")</f>
        <v>May</v>
      </c>
      <c r="Q275" s="8" t="str">
        <f t="shared" si="12"/>
        <v>Q2</v>
      </c>
      <c r="R275" s="3">
        <f>Table14[[#This Row],[Revenue]]*25%</f>
        <v>1617.855</v>
      </c>
      <c r="S275" s="3">
        <f t="shared" si="13"/>
        <v>1164.8555999999999</v>
      </c>
      <c r="T275" s="14">
        <f t="shared" si="14"/>
        <v>5306.5644000000002</v>
      </c>
      <c r="U275" s="3" t="str">
        <f t="array" ref="U275">_xlfn.IFS(Table14[[#This Row],[Revenue]]&gt;10000,"High",AND(Table14[[#This Row],[Revenue]]&gt;=5000,Table14[[#This Row],[Revenue]]&lt;=10000),"Medium",Table14[[#This Row],[Revenue]]&lt;5000,"Low")</f>
        <v>Medium</v>
      </c>
      <c r="V275" s="3"/>
    </row>
    <row r="276" spans="1:22" x14ac:dyDescent="0.35">
      <c r="A276" s="8">
        <v>1123</v>
      </c>
      <c r="B276" s="2">
        <v>46163</v>
      </c>
      <c r="C276" t="s">
        <v>21</v>
      </c>
      <c r="D276" t="s">
        <v>28</v>
      </c>
      <c r="E276" t="s">
        <v>114</v>
      </c>
      <c r="F276" t="s">
        <v>33</v>
      </c>
      <c r="G276" t="s">
        <v>61</v>
      </c>
      <c r="H276">
        <v>2</v>
      </c>
      <c r="I276" s="8">
        <v>1075.27</v>
      </c>
      <c r="J276" s="8">
        <v>0</v>
      </c>
      <c r="K276" s="14">
        <v>2150.54</v>
      </c>
      <c r="L276" t="s">
        <v>19</v>
      </c>
      <c r="M276" t="s">
        <v>36</v>
      </c>
      <c r="N276" s="14">
        <f>Table14[[#This Row],[Quantity]]*Table14[[#This Row],[UnitPrice]]*(1-Table14[[#This Row],[Discount]])</f>
        <v>2150.54</v>
      </c>
      <c r="O276" s="8">
        <f>YEAR(Table14[[#This Row],[OrderDate]])</f>
        <v>2026</v>
      </c>
      <c r="P276" s="8" t="str">
        <f>TEXT(Table14[[#This Row],[OrderDate]],"mmmm")</f>
        <v>May</v>
      </c>
      <c r="Q276" s="8" t="str">
        <f t="shared" si="12"/>
        <v>Q2</v>
      </c>
      <c r="R276" s="3">
        <f>Table14[[#This Row],[Revenue]]*25%</f>
        <v>537.63499999999999</v>
      </c>
      <c r="S276" s="3">
        <f t="shared" si="13"/>
        <v>387.09719999999999</v>
      </c>
      <c r="T276" s="14">
        <f t="shared" si="14"/>
        <v>1763.4428</v>
      </c>
      <c r="U276" s="3" t="str">
        <f t="array" ref="U276">_xlfn.IFS(Table14[[#This Row],[Revenue]]&gt;10000,"High",AND(Table14[[#This Row],[Revenue]]&gt;=5000,Table14[[#This Row],[Revenue]]&lt;=10000),"Medium",Table14[[#This Row],[Revenue]]&lt;5000,"Low")</f>
        <v>Low</v>
      </c>
      <c r="V276" s="3"/>
    </row>
    <row r="277" spans="1:22" x14ac:dyDescent="0.35">
      <c r="A277" s="8">
        <v>1137</v>
      </c>
      <c r="B277" s="2">
        <v>46163</v>
      </c>
      <c r="C277" t="s">
        <v>43</v>
      </c>
      <c r="D277" t="s">
        <v>54</v>
      </c>
      <c r="E277" t="s">
        <v>59</v>
      </c>
      <c r="F277" t="s">
        <v>24</v>
      </c>
      <c r="G277" t="s">
        <v>25</v>
      </c>
      <c r="H277">
        <v>2</v>
      </c>
      <c r="I277" s="8">
        <v>249.82</v>
      </c>
      <c r="J277" s="8">
        <v>0.15</v>
      </c>
      <c r="K277" s="14">
        <v>424.69</v>
      </c>
      <c r="L277" t="s">
        <v>19</v>
      </c>
      <c r="M277" t="s">
        <v>36</v>
      </c>
      <c r="N277" s="14">
        <f>Table14[[#This Row],[Quantity]]*Table14[[#This Row],[UnitPrice]]*(1-Table14[[#This Row],[Discount]])</f>
        <v>424.69399999999996</v>
      </c>
      <c r="O277" s="8">
        <f>YEAR(Table14[[#This Row],[OrderDate]])</f>
        <v>2026</v>
      </c>
      <c r="P277" s="8" t="str">
        <f>TEXT(Table14[[#This Row],[OrderDate]],"mmmm")</f>
        <v>May</v>
      </c>
      <c r="Q277" s="8" t="str">
        <f t="shared" si="12"/>
        <v>Q2</v>
      </c>
      <c r="R277" s="3">
        <f>Table14[[#This Row],[Revenue]]*25%</f>
        <v>106.1725</v>
      </c>
      <c r="S277" s="3">
        <f t="shared" si="13"/>
        <v>76.444199999999995</v>
      </c>
      <c r="T277" s="14">
        <f t="shared" si="14"/>
        <v>348.24580000000003</v>
      </c>
      <c r="U277" s="3" t="str">
        <f t="array" ref="U277">_xlfn.IFS(Table14[[#This Row],[Revenue]]&gt;10000,"High",AND(Table14[[#This Row],[Revenue]]&gt;=5000,Table14[[#This Row],[Revenue]]&lt;=10000),"Medium",Table14[[#This Row],[Revenue]]&lt;5000,"Low")</f>
        <v>Low</v>
      </c>
      <c r="V277" s="3"/>
    </row>
    <row r="278" spans="1:22" x14ac:dyDescent="0.35">
      <c r="A278" s="8">
        <v>1184</v>
      </c>
      <c r="B278" s="2">
        <v>46167</v>
      </c>
      <c r="C278" t="s">
        <v>27</v>
      </c>
      <c r="D278" t="s">
        <v>47</v>
      </c>
      <c r="E278" t="s">
        <v>57</v>
      </c>
      <c r="F278" t="s">
        <v>33</v>
      </c>
      <c r="G278" t="s">
        <v>34</v>
      </c>
      <c r="H278">
        <v>1</v>
      </c>
      <c r="I278" s="8">
        <v>1164.6099999999999</v>
      </c>
      <c r="J278" s="8">
        <v>0.05</v>
      </c>
      <c r="K278" s="14">
        <v>1106.3800000000001</v>
      </c>
      <c r="L278" t="s">
        <v>19</v>
      </c>
      <c r="M278" t="s">
        <v>20</v>
      </c>
      <c r="N278" s="14">
        <f>Table14[[#This Row],[Quantity]]*Table14[[#This Row],[UnitPrice]]*(1-Table14[[#This Row],[Discount]])</f>
        <v>1106.3794999999998</v>
      </c>
      <c r="O278" s="8">
        <f>YEAR(Table14[[#This Row],[OrderDate]])</f>
        <v>2026</v>
      </c>
      <c r="P278" s="8" t="str">
        <f>TEXT(Table14[[#This Row],[OrderDate]],"mmmm")</f>
        <v>May</v>
      </c>
      <c r="Q278" s="8" t="str">
        <f t="shared" si="12"/>
        <v>Q2</v>
      </c>
      <c r="R278" s="3">
        <f>Table14[[#This Row],[Revenue]]*25%</f>
        <v>276.59500000000003</v>
      </c>
      <c r="S278" s="3">
        <f t="shared" si="13"/>
        <v>199.14840000000001</v>
      </c>
      <c r="T278" s="14">
        <f t="shared" si="14"/>
        <v>907.23160000000007</v>
      </c>
      <c r="U278" s="3" t="str">
        <f t="array" ref="U278">_xlfn.IFS(Table14[[#This Row],[Revenue]]&gt;10000,"High",AND(Table14[[#This Row],[Revenue]]&gt;=5000,Table14[[#This Row],[Revenue]]&lt;=10000),"Medium",Table14[[#This Row],[Revenue]]&lt;5000,"Low")</f>
        <v>Low</v>
      </c>
      <c r="V278" s="3"/>
    </row>
    <row r="279" spans="1:22" x14ac:dyDescent="0.35">
      <c r="A279" s="8">
        <v>1241</v>
      </c>
      <c r="B279" s="2">
        <v>46167</v>
      </c>
      <c r="C279" t="s">
        <v>43</v>
      </c>
      <c r="D279" t="s">
        <v>31</v>
      </c>
      <c r="E279" t="s">
        <v>90</v>
      </c>
      <c r="F279" t="s">
        <v>17</v>
      </c>
      <c r="G279" t="s">
        <v>18</v>
      </c>
      <c r="H279">
        <v>8</v>
      </c>
      <c r="I279" s="8">
        <v>1193.77</v>
      </c>
      <c r="J279" s="8">
        <v>0.15</v>
      </c>
      <c r="K279" s="14">
        <v>8117.64</v>
      </c>
      <c r="L279" t="s">
        <v>35</v>
      </c>
      <c r="M279" t="s">
        <v>20</v>
      </c>
      <c r="N279" s="14">
        <f>Table14[[#This Row],[Quantity]]*Table14[[#This Row],[UnitPrice]]*(1-Table14[[#This Row],[Discount]])</f>
        <v>8117.6359999999995</v>
      </c>
      <c r="O279" s="8">
        <f>YEAR(Table14[[#This Row],[OrderDate]])</f>
        <v>2026</v>
      </c>
      <c r="P279" s="8" t="str">
        <f>TEXT(Table14[[#This Row],[OrderDate]],"mmmm")</f>
        <v>May</v>
      </c>
      <c r="Q279" s="8" t="str">
        <f t="shared" si="12"/>
        <v>Q2</v>
      </c>
      <c r="R279" s="3">
        <f>Table14[[#This Row],[Revenue]]*25%</f>
        <v>2029.41</v>
      </c>
      <c r="S279" s="3">
        <f t="shared" si="13"/>
        <v>1461.1751999999999</v>
      </c>
      <c r="T279" s="14">
        <f t="shared" si="14"/>
        <v>6656.4648000000007</v>
      </c>
      <c r="U279" s="3" t="str">
        <f t="array" ref="U279">_xlfn.IFS(Table14[[#This Row],[Revenue]]&gt;10000,"High",AND(Table14[[#This Row],[Revenue]]&gt;=5000,Table14[[#This Row],[Revenue]]&lt;=10000),"Medium",Table14[[#This Row],[Revenue]]&lt;5000,"Low")</f>
        <v>Medium</v>
      </c>
      <c r="V279" s="3"/>
    </row>
    <row r="280" spans="1:22" x14ac:dyDescent="0.35">
      <c r="A280" s="8">
        <v>1195</v>
      </c>
      <c r="B280" s="2">
        <v>46170</v>
      </c>
      <c r="C280" t="s">
        <v>43</v>
      </c>
      <c r="D280" t="s">
        <v>22</v>
      </c>
      <c r="E280" t="s">
        <v>77</v>
      </c>
      <c r="F280" t="s">
        <v>24</v>
      </c>
      <c r="G280" t="s">
        <v>38</v>
      </c>
      <c r="H280">
        <v>14</v>
      </c>
      <c r="I280" s="8">
        <v>162.52000000000001</v>
      </c>
      <c r="J280" s="8">
        <v>0.05</v>
      </c>
      <c r="K280" s="14">
        <v>2161.52</v>
      </c>
      <c r="L280" t="s">
        <v>19</v>
      </c>
      <c r="M280" t="s">
        <v>26</v>
      </c>
      <c r="N280" s="14">
        <f>Table14[[#This Row],[Quantity]]*Table14[[#This Row],[UnitPrice]]*(1-Table14[[#This Row],[Discount]])</f>
        <v>2161.5160000000001</v>
      </c>
      <c r="O280" s="8">
        <f>YEAR(Table14[[#This Row],[OrderDate]])</f>
        <v>2026</v>
      </c>
      <c r="P280" s="8" t="str">
        <f>TEXT(Table14[[#This Row],[OrderDate]],"mmmm")</f>
        <v>May</v>
      </c>
      <c r="Q280" s="8" t="str">
        <f t="shared" si="12"/>
        <v>Q2</v>
      </c>
      <c r="R280" s="3">
        <f>Table14[[#This Row],[Revenue]]*25%</f>
        <v>540.38</v>
      </c>
      <c r="S280" s="3">
        <f t="shared" si="13"/>
        <v>389.0736</v>
      </c>
      <c r="T280" s="14">
        <f t="shared" si="14"/>
        <v>1772.4464</v>
      </c>
      <c r="U280" s="3" t="str">
        <f t="array" ref="U280">_xlfn.IFS(Table14[[#This Row],[Revenue]]&gt;10000,"High",AND(Table14[[#This Row],[Revenue]]&gt;=5000,Table14[[#This Row],[Revenue]]&lt;=10000),"Medium",Table14[[#This Row],[Revenue]]&lt;5000,"Low")</f>
        <v>Low</v>
      </c>
      <c r="V280" s="3"/>
    </row>
    <row r="281" spans="1:22" x14ac:dyDescent="0.35">
      <c r="A281" s="8">
        <v>1174</v>
      </c>
      <c r="B281" s="2">
        <v>46171</v>
      </c>
      <c r="C281" t="s">
        <v>14</v>
      </c>
      <c r="D281" t="s">
        <v>47</v>
      </c>
      <c r="E281" t="s">
        <v>65</v>
      </c>
      <c r="F281" t="s">
        <v>24</v>
      </c>
      <c r="G281" t="s">
        <v>63</v>
      </c>
      <c r="H281">
        <v>1</v>
      </c>
      <c r="I281" s="8">
        <v>1003.21</v>
      </c>
      <c r="J281" s="8">
        <v>0</v>
      </c>
      <c r="K281" s="14">
        <v>1003.21</v>
      </c>
      <c r="L281" t="s">
        <v>39</v>
      </c>
      <c r="M281" t="s">
        <v>36</v>
      </c>
      <c r="N281" s="14">
        <f>Table14[[#This Row],[Quantity]]*Table14[[#This Row],[UnitPrice]]*(1-Table14[[#This Row],[Discount]])</f>
        <v>1003.21</v>
      </c>
      <c r="O281" s="8">
        <f>YEAR(Table14[[#This Row],[OrderDate]])</f>
        <v>2026</v>
      </c>
      <c r="P281" s="8" t="str">
        <f>TEXT(Table14[[#This Row],[OrderDate]],"mmmm")</f>
        <v>May</v>
      </c>
      <c r="Q281" s="8" t="str">
        <f t="shared" si="12"/>
        <v>Q2</v>
      </c>
      <c r="R281" s="3">
        <f>Table14[[#This Row],[Revenue]]*25%</f>
        <v>250.80250000000001</v>
      </c>
      <c r="S281" s="3">
        <f t="shared" si="13"/>
        <v>180.5778</v>
      </c>
      <c r="T281" s="14">
        <f t="shared" si="14"/>
        <v>822.63220000000001</v>
      </c>
      <c r="U281" s="3" t="str">
        <f t="array" ref="U281">_xlfn.IFS(Table14[[#This Row],[Revenue]]&gt;10000,"High",AND(Table14[[#This Row],[Revenue]]&gt;=5000,Table14[[#This Row],[Revenue]]&lt;=10000),"Medium",Table14[[#This Row],[Revenue]]&lt;5000,"Low")</f>
        <v>Low</v>
      </c>
      <c r="V281" s="3"/>
    </row>
    <row r="282" spans="1:22" x14ac:dyDescent="0.35">
      <c r="A282" s="8">
        <v>1155</v>
      </c>
      <c r="B282" s="2">
        <v>46172</v>
      </c>
      <c r="C282" t="s">
        <v>43</v>
      </c>
      <c r="D282" t="s">
        <v>31</v>
      </c>
      <c r="E282" t="s">
        <v>41</v>
      </c>
      <c r="F282" t="s">
        <v>33</v>
      </c>
      <c r="G282" t="s">
        <v>53</v>
      </c>
      <c r="H282">
        <v>6</v>
      </c>
      <c r="I282" s="8">
        <v>1123.44</v>
      </c>
      <c r="J282" s="8">
        <v>0</v>
      </c>
      <c r="K282" s="14">
        <v>6740.64</v>
      </c>
      <c r="L282" t="s">
        <v>35</v>
      </c>
      <c r="M282" t="s">
        <v>36</v>
      </c>
      <c r="N282" s="14">
        <f>Table14[[#This Row],[Quantity]]*Table14[[#This Row],[UnitPrice]]*(1-Table14[[#This Row],[Discount]])</f>
        <v>6740.64</v>
      </c>
      <c r="O282" s="8">
        <f>YEAR(Table14[[#This Row],[OrderDate]])</f>
        <v>2026</v>
      </c>
      <c r="P282" s="8" t="str">
        <f>TEXT(Table14[[#This Row],[OrderDate]],"mmmm")</f>
        <v>May</v>
      </c>
      <c r="Q282" s="8" t="str">
        <f t="shared" si="12"/>
        <v>Q2</v>
      </c>
      <c r="R282" s="3">
        <f>Table14[[#This Row],[Revenue]]*25%</f>
        <v>1685.16</v>
      </c>
      <c r="S282" s="3">
        <f t="shared" si="13"/>
        <v>1213.3152</v>
      </c>
      <c r="T282" s="14">
        <f t="shared" si="14"/>
        <v>5527.3248000000003</v>
      </c>
      <c r="U282" s="3" t="str">
        <f t="array" ref="U282">_xlfn.IFS(Table14[[#This Row],[Revenue]]&gt;10000,"High",AND(Table14[[#This Row],[Revenue]]&gt;=5000,Table14[[#This Row],[Revenue]]&lt;=10000),"Medium",Table14[[#This Row],[Revenue]]&lt;5000,"Low")</f>
        <v>Medium</v>
      </c>
      <c r="V282" s="3"/>
    </row>
    <row r="283" spans="1:22" x14ac:dyDescent="0.35">
      <c r="A283" s="8">
        <v>1190</v>
      </c>
      <c r="B283" s="2">
        <v>46172</v>
      </c>
      <c r="C283" t="s">
        <v>27</v>
      </c>
      <c r="D283" t="s">
        <v>31</v>
      </c>
      <c r="E283" t="s">
        <v>81</v>
      </c>
      <c r="F283" t="s">
        <v>24</v>
      </c>
      <c r="G283" t="s">
        <v>38</v>
      </c>
      <c r="H283">
        <v>4</v>
      </c>
      <c r="I283" s="8">
        <v>96.88</v>
      </c>
      <c r="J283" s="8">
        <v>0.1</v>
      </c>
      <c r="K283" s="14">
        <v>348.77</v>
      </c>
      <c r="L283" t="s">
        <v>19</v>
      </c>
      <c r="M283" t="s">
        <v>26</v>
      </c>
      <c r="N283" s="14">
        <f>Table14[[#This Row],[Quantity]]*Table14[[#This Row],[UnitPrice]]*(1-Table14[[#This Row],[Discount]])</f>
        <v>348.76799999999997</v>
      </c>
      <c r="O283" s="8">
        <f>YEAR(Table14[[#This Row],[OrderDate]])</f>
        <v>2026</v>
      </c>
      <c r="P283" s="8" t="str">
        <f>TEXT(Table14[[#This Row],[OrderDate]],"mmmm")</f>
        <v>May</v>
      </c>
      <c r="Q283" s="8" t="str">
        <f t="shared" si="12"/>
        <v>Q2</v>
      </c>
      <c r="R283" s="3">
        <f>Table14[[#This Row],[Revenue]]*25%</f>
        <v>87.192499999999995</v>
      </c>
      <c r="S283" s="3">
        <f t="shared" si="13"/>
        <v>62.778599999999997</v>
      </c>
      <c r="T283" s="14">
        <f t="shared" si="14"/>
        <v>285.9914</v>
      </c>
      <c r="U283" s="3" t="str">
        <f t="array" ref="U283">_xlfn.IFS(Table14[[#This Row],[Revenue]]&gt;10000,"High",AND(Table14[[#This Row],[Revenue]]&gt;=5000,Table14[[#This Row],[Revenue]]&lt;=10000),"Medium",Table14[[#This Row],[Revenue]]&lt;5000,"Low")</f>
        <v>Low</v>
      </c>
      <c r="V283" s="3"/>
    </row>
    <row r="284" spans="1:22" x14ac:dyDescent="0.35">
      <c r="A284" s="8">
        <v>1271</v>
      </c>
      <c r="B284" s="2">
        <v>46172</v>
      </c>
      <c r="C284" t="s">
        <v>21</v>
      </c>
      <c r="D284" t="s">
        <v>54</v>
      </c>
      <c r="E284" t="s">
        <v>99</v>
      </c>
      <c r="F284" t="s">
        <v>17</v>
      </c>
      <c r="G284" t="s">
        <v>30</v>
      </c>
      <c r="H284">
        <v>15</v>
      </c>
      <c r="I284" s="8">
        <v>883.6</v>
      </c>
      <c r="J284" s="8">
        <v>0.05</v>
      </c>
      <c r="K284" s="14">
        <v>12591.3</v>
      </c>
      <c r="L284" t="s">
        <v>19</v>
      </c>
      <c r="M284" t="s">
        <v>26</v>
      </c>
      <c r="N284" s="14">
        <f>Table14[[#This Row],[Quantity]]*Table14[[#This Row],[UnitPrice]]*(1-Table14[[#This Row],[Discount]])</f>
        <v>12591.3</v>
      </c>
      <c r="O284" s="8">
        <f>YEAR(Table14[[#This Row],[OrderDate]])</f>
        <v>2026</v>
      </c>
      <c r="P284" s="8" t="str">
        <f>TEXT(Table14[[#This Row],[OrderDate]],"mmmm")</f>
        <v>May</v>
      </c>
      <c r="Q284" s="8" t="str">
        <f t="shared" si="12"/>
        <v>Q2</v>
      </c>
      <c r="R284" s="3">
        <f>Table14[[#This Row],[Revenue]]*25%</f>
        <v>3147.8249999999998</v>
      </c>
      <c r="S284" s="3">
        <f t="shared" si="13"/>
        <v>2266.4339999999997</v>
      </c>
      <c r="T284" s="14">
        <f t="shared" si="14"/>
        <v>10324.866</v>
      </c>
      <c r="U284" s="3" t="str">
        <f t="array" ref="U284">_xlfn.IFS(Table14[[#This Row],[Revenue]]&gt;10000,"High",AND(Table14[[#This Row],[Revenue]]&gt;=5000,Table14[[#This Row],[Revenue]]&lt;=10000),"Medium",Table14[[#This Row],[Revenue]]&lt;5000,"Low")</f>
        <v>High</v>
      </c>
      <c r="V284" s="3"/>
    </row>
    <row r="285" spans="1:22" x14ac:dyDescent="0.35">
      <c r="A285" s="8">
        <v>1012</v>
      </c>
      <c r="B285" s="2">
        <v>46175</v>
      </c>
      <c r="C285" t="s">
        <v>14</v>
      </c>
      <c r="D285" t="s">
        <v>28</v>
      </c>
      <c r="E285" t="s">
        <v>44</v>
      </c>
      <c r="F285" t="s">
        <v>33</v>
      </c>
      <c r="G285" t="s">
        <v>53</v>
      </c>
      <c r="H285" s="8">
        <v>7</v>
      </c>
      <c r="I285" s="8">
        <v>767.22</v>
      </c>
      <c r="J285" s="8">
        <v>0.05</v>
      </c>
      <c r="K285" s="14">
        <v>5102.01</v>
      </c>
      <c r="L285" t="s">
        <v>39</v>
      </c>
      <c r="M285" t="s">
        <v>20</v>
      </c>
      <c r="N285" s="14">
        <f>Table14[[#This Row],[Quantity]]*Table14[[#This Row],[UnitPrice]]*(1-Table14[[#This Row],[Discount]])</f>
        <v>5102.0129999999999</v>
      </c>
      <c r="O285" s="8">
        <f>YEAR(Table14[[#This Row],[OrderDate]])</f>
        <v>2026</v>
      </c>
      <c r="P285" s="8" t="str">
        <f>TEXT(Table14[[#This Row],[OrderDate]],"mmmm")</f>
        <v>June</v>
      </c>
      <c r="Q285" s="8" t="str">
        <f t="shared" si="12"/>
        <v>Q2</v>
      </c>
      <c r="R285" s="3">
        <f>Table14[[#This Row],[Revenue]]*25%</f>
        <v>1275.5025000000001</v>
      </c>
      <c r="S285" s="3">
        <f t="shared" si="13"/>
        <v>918.36180000000002</v>
      </c>
      <c r="T285" s="14">
        <f t="shared" si="14"/>
        <v>4183.6482000000005</v>
      </c>
      <c r="U285" s="3" t="str">
        <f t="array" ref="U285">_xlfn.IFS(Table14[[#This Row],[Revenue]]&gt;10000,"High",AND(Table14[[#This Row],[Revenue]]&gt;=5000,Table14[[#This Row],[Revenue]]&lt;=10000),"Medium",Table14[[#This Row],[Revenue]]&lt;5000,"Low")</f>
        <v>Medium</v>
      </c>
      <c r="V285" s="3"/>
    </row>
    <row r="286" spans="1:22" x14ac:dyDescent="0.35">
      <c r="A286" s="8">
        <v>1295</v>
      </c>
      <c r="B286" s="2">
        <v>46178</v>
      </c>
      <c r="C286" t="s">
        <v>27</v>
      </c>
      <c r="D286" t="s">
        <v>22</v>
      </c>
      <c r="E286" t="s">
        <v>66</v>
      </c>
      <c r="F286" t="s">
        <v>24</v>
      </c>
      <c r="G286" t="s">
        <v>38</v>
      </c>
      <c r="H286">
        <v>3</v>
      </c>
      <c r="I286" s="8">
        <v>174.72</v>
      </c>
      <c r="J286" s="8">
        <v>0.15</v>
      </c>
      <c r="K286" s="14">
        <v>445.54</v>
      </c>
      <c r="L286" t="s">
        <v>19</v>
      </c>
      <c r="M286" t="s">
        <v>26</v>
      </c>
      <c r="N286" s="14">
        <f>Table14[[#This Row],[Quantity]]*Table14[[#This Row],[UnitPrice]]*(1-Table14[[#This Row],[Discount]])</f>
        <v>445.53599999999994</v>
      </c>
      <c r="O286" s="8">
        <f>YEAR(Table14[[#This Row],[OrderDate]])</f>
        <v>2026</v>
      </c>
      <c r="P286" s="8" t="str">
        <f>TEXT(Table14[[#This Row],[OrderDate]],"mmmm")</f>
        <v>June</v>
      </c>
      <c r="Q286" s="8" t="str">
        <f t="shared" si="12"/>
        <v>Q2</v>
      </c>
      <c r="R286" s="3">
        <f>Table14[[#This Row],[Revenue]]*25%</f>
        <v>111.38500000000001</v>
      </c>
      <c r="S286" s="3">
        <f t="shared" si="13"/>
        <v>80.197199999999995</v>
      </c>
      <c r="T286" s="14">
        <f t="shared" si="14"/>
        <v>365.34280000000001</v>
      </c>
      <c r="U286" s="3" t="str">
        <f t="array" ref="U286">_xlfn.IFS(Table14[[#This Row],[Revenue]]&gt;10000,"High",AND(Table14[[#This Row],[Revenue]]&gt;=5000,Table14[[#This Row],[Revenue]]&lt;=10000),"Medium",Table14[[#This Row],[Revenue]]&lt;5000,"Low")</f>
        <v>Low</v>
      </c>
      <c r="V286" s="3"/>
    </row>
    <row r="287" spans="1:22" x14ac:dyDescent="0.35">
      <c r="A287" s="8">
        <v>1005</v>
      </c>
      <c r="B287" s="2">
        <v>46180</v>
      </c>
      <c r="C287" t="s">
        <v>21</v>
      </c>
      <c r="D287" t="s">
        <v>28</v>
      </c>
      <c r="E287" t="s">
        <v>50</v>
      </c>
      <c r="F287" t="s">
        <v>33</v>
      </c>
      <c r="G287" t="s">
        <v>61</v>
      </c>
      <c r="H287" s="8">
        <v>8</v>
      </c>
      <c r="I287" s="8">
        <v>510.37</v>
      </c>
      <c r="J287" s="8">
        <v>0.05</v>
      </c>
      <c r="K287" s="14">
        <v>3878.81</v>
      </c>
      <c r="L287" t="s">
        <v>39</v>
      </c>
      <c r="M287" t="s">
        <v>26</v>
      </c>
      <c r="N287" s="14">
        <f>Table14[[#This Row],[Quantity]]*Table14[[#This Row],[UnitPrice]]*(1-Table14[[#This Row],[Discount]])</f>
        <v>3878.8119999999999</v>
      </c>
      <c r="O287" s="8">
        <f>YEAR(Table14[[#This Row],[OrderDate]])</f>
        <v>2026</v>
      </c>
      <c r="P287" s="8" t="str">
        <f>TEXT(Table14[[#This Row],[OrderDate]],"mmmm")</f>
        <v>June</v>
      </c>
      <c r="Q287" s="8" t="str">
        <f t="shared" si="12"/>
        <v>Q2</v>
      </c>
      <c r="R287" s="3">
        <f>Table14[[#This Row],[Revenue]]*25%</f>
        <v>969.70249999999999</v>
      </c>
      <c r="S287" s="3">
        <f t="shared" si="13"/>
        <v>698.18579999999997</v>
      </c>
      <c r="T287" s="14">
        <f t="shared" si="14"/>
        <v>3180.6242000000002</v>
      </c>
      <c r="U287" s="3" t="str">
        <f t="array" ref="U287">_xlfn.IFS(Table14[[#This Row],[Revenue]]&gt;10000,"High",AND(Table14[[#This Row],[Revenue]]&gt;=5000,Table14[[#This Row],[Revenue]]&lt;=10000),"Medium",Table14[[#This Row],[Revenue]]&lt;5000,"Low")</f>
        <v>Low</v>
      </c>
      <c r="V287" s="3"/>
    </row>
    <row r="288" spans="1:22" x14ac:dyDescent="0.35">
      <c r="A288" s="8">
        <v>1013</v>
      </c>
      <c r="B288" s="2">
        <v>46181</v>
      </c>
      <c r="C288" t="s">
        <v>43</v>
      </c>
      <c r="D288" t="s">
        <v>15</v>
      </c>
      <c r="E288" t="s">
        <v>65</v>
      </c>
      <c r="F288" t="s">
        <v>33</v>
      </c>
      <c r="G288" t="s">
        <v>53</v>
      </c>
      <c r="H288" s="8">
        <v>14</v>
      </c>
      <c r="I288" s="8">
        <v>434.94</v>
      </c>
      <c r="J288" s="8">
        <v>0.15</v>
      </c>
      <c r="K288" s="14">
        <v>5175.79</v>
      </c>
      <c r="L288" t="s">
        <v>39</v>
      </c>
      <c r="M288" t="s">
        <v>26</v>
      </c>
      <c r="N288" s="14">
        <f>Table14[[#This Row],[Quantity]]*Table14[[#This Row],[UnitPrice]]*(1-Table14[[#This Row],[Discount]])</f>
        <v>5175.7860000000001</v>
      </c>
      <c r="O288" s="8">
        <f>YEAR(Table14[[#This Row],[OrderDate]])</f>
        <v>2026</v>
      </c>
      <c r="P288" s="8" t="str">
        <f>TEXT(Table14[[#This Row],[OrderDate]],"mmmm")</f>
        <v>June</v>
      </c>
      <c r="Q288" s="8" t="str">
        <f t="shared" si="12"/>
        <v>Q2</v>
      </c>
      <c r="R288" s="3">
        <f>Table14[[#This Row],[Revenue]]*25%</f>
        <v>1293.9475</v>
      </c>
      <c r="S288" s="3">
        <f t="shared" si="13"/>
        <v>931.6422</v>
      </c>
      <c r="T288" s="14">
        <f t="shared" si="14"/>
        <v>4244.1477999999997</v>
      </c>
      <c r="U288" s="3" t="str">
        <f t="array" ref="U288">_xlfn.IFS(Table14[[#This Row],[Revenue]]&gt;10000,"High",AND(Table14[[#This Row],[Revenue]]&gt;=5000,Table14[[#This Row],[Revenue]]&lt;=10000),"Medium",Table14[[#This Row],[Revenue]]&lt;5000,"Low")</f>
        <v>Medium</v>
      </c>
      <c r="V288" s="3"/>
    </row>
    <row r="289" spans="1:22" x14ac:dyDescent="0.35">
      <c r="A289" s="8">
        <v>1207</v>
      </c>
      <c r="B289" s="2">
        <v>46181</v>
      </c>
      <c r="C289" t="s">
        <v>14</v>
      </c>
      <c r="D289" t="s">
        <v>28</v>
      </c>
      <c r="E289" t="s">
        <v>84</v>
      </c>
      <c r="F289" t="s">
        <v>33</v>
      </c>
      <c r="G289" t="s">
        <v>34</v>
      </c>
      <c r="H289">
        <v>13</v>
      </c>
      <c r="I289" s="8">
        <v>395.19</v>
      </c>
      <c r="J289" s="8">
        <v>0.15</v>
      </c>
      <c r="K289" s="14">
        <v>4366.8500000000004</v>
      </c>
      <c r="L289" t="s">
        <v>35</v>
      </c>
      <c r="M289" t="s">
        <v>36</v>
      </c>
      <c r="N289" s="14">
        <f>Table14[[#This Row],[Quantity]]*Table14[[#This Row],[UnitPrice]]*(1-Table14[[#This Row],[Discount]])</f>
        <v>4366.8495000000003</v>
      </c>
      <c r="O289" s="8">
        <f>YEAR(Table14[[#This Row],[OrderDate]])</f>
        <v>2026</v>
      </c>
      <c r="P289" s="8" t="str">
        <f>TEXT(Table14[[#This Row],[OrderDate]],"mmmm")</f>
        <v>June</v>
      </c>
      <c r="Q289" s="8" t="str">
        <f t="shared" si="12"/>
        <v>Q2</v>
      </c>
      <c r="R289" s="3">
        <f>Table14[[#This Row],[Revenue]]*25%</f>
        <v>1091.7125000000001</v>
      </c>
      <c r="S289" s="3">
        <f t="shared" si="13"/>
        <v>786.03300000000002</v>
      </c>
      <c r="T289" s="14">
        <f t="shared" si="14"/>
        <v>3580.8170000000005</v>
      </c>
      <c r="U289" s="3" t="str">
        <f t="array" ref="U289">_xlfn.IFS(Table14[[#This Row],[Revenue]]&gt;10000,"High",AND(Table14[[#This Row],[Revenue]]&gt;=5000,Table14[[#This Row],[Revenue]]&lt;=10000),"Medium",Table14[[#This Row],[Revenue]]&lt;5000,"Low")</f>
        <v>Low</v>
      </c>
      <c r="V289" s="3"/>
    </row>
    <row r="290" spans="1:22" x14ac:dyDescent="0.35">
      <c r="A290" s="8">
        <v>1083</v>
      </c>
      <c r="B290" s="2">
        <v>46187</v>
      </c>
      <c r="C290" t="s">
        <v>27</v>
      </c>
      <c r="D290" t="s">
        <v>15</v>
      </c>
      <c r="E290" t="s">
        <v>102</v>
      </c>
      <c r="F290" t="s">
        <v>24</v>
      </c>
      <c r="G290" t="s">
        <v>25</v>
      </c>
      <c r="H290">
        <v>10</v>
      </c>
      <c r="I290" s="8">
        <v>40.25</v>
      </c>
      <c r="J290" s="8">
        <v>0.15</v>
      </c>
      <c r="K290" s="14">
        <v>342.12</v>
      </c>
      <c r="L290" t="s">
        <v>35</v>
      </c>
      <c r="M290" t="s">
        <v>20</v>
      </c>
      <c r="N290" s="14">
        <f>Table14[[#This Row],[Quantity]]*Table14[[#This Row],[UnitPrice]]*(1-Table14[[#This Row],[Discount]])</f>
        <v>342.125</v>
      </c>
      <c r="O290" s="8">
        <f>YEAR(Table14[[#This Row],[OrderDate]])</f>
        <v>2026</v>
      </c>
      <c r="P290" s="8" t="str">
        <f>TEXT(Table14[[#This Row],[OrderDate]],"mmmm")</f>
        <v>June</v>
      </c>
      <c r="Q290" s="8" t="str">
        <f t="shared" si="12"/>
        <v>Q2</v>
      </c>
      <c r="R290" s="3">
        <f>Table14[[#This Row],[Revenue]]*25%</f>
        <v>85.53</v>
      </c>
      <c r="S290" s="3">
        <f t="shared" si="13"/>
        <v>61.581600000000002</v>
      </c>
      <c r="T290" s="14">
        <f t="shared" si="14"/>
        <v>280.53840000000002</v>
      </c>
      <c r="U290" s="3" t="str">
        <f t="array" ref="U290">_xlfn.IFS(Table14[[#This Row],[Revenue]]&gt;10000,"High",AND(Table14[[#This Row],[Revenue]]&gt;=5000,Table14[[#This Row],[Revenue]]&lt;=10000),"Medium",Table14[[#This Row],[Revenue]]&lt;5000,"Low")</f>
        <v>Low</v>
      </c>
      <c r="V290" s="3"/>
    </row>
    <row r="291" spans="1:22" x14ac:dyDescent="0.35">
      <c r="A291" s="8">
        <v>1275</v>
      </c>
      <c r="B291" s="2">
        <v>46187</v>
      </c>
      <c r="C291" t="s">
        <v>21</v>
      </c>
      <c r="D291" t="s">
        <v>31</v>
      </c>
      <c r="E291" t="s">
        <v>64</v>
      </c>
      <c r="F291" t="s">
        <v>17</v>
      </c>
      <c r="G291" t="s">
        <v>30</v>
      </c>
      <c r="H291">
        <v>5</v>
      </c>
      <c r="I291" s="8">
        <v>406.32</v>
      </c>
      <c r="J291" s="8">
        <v>0</v>
      </c>
      <c r="K291" s="14">
        <v>2031.6</v>
      </c>
      <c r="L291" t="s">
        <v>39</v>
      </c>
      <c r="M291" t="s">
        <v>26</v>
      </c>
      <c r="N291" s="14">
        <f>Table14[[#This Row],[Quantity]]*Table14[[#This Row],[UnitPrice]]*(1-Table14[[#This Row],[Discount]])</f>
        <v>2031.6</v>
      </c>
      <c r="O291" s="8">
        <f>YEAR(Table14[[#This Row],[OrderDate]])</f>
        <v>2026</v>
      </c>
      <c r="P291" s="8" t="str">
        <f>TEXT(Table14[[#This Row],[OrderDate]],"mmmm")</f>
        <v>June</v>
      </c>
      <c r="Q291" s="8" t="str">
        <f t="shared" si="12"/>
        <v>Q2</v>
      </c>
      <c r="R291" s="3">
        <f>Table14[[#This Row],[Revenue]]*25%</f>
        <v>507.9</v>
      </c>
      <c r="S291" s="3">
        <f t="shared" si="13"/>
        <v>365.68799999999999</v>
      </c>
      <c r="T291" s="14">
        <f t="shared" si="14"/>
        <v>1665.9119999999998</v>
      </c>
      <c r="U291" s="3" t="str">
        <f t="array" ref="U291">_xlfn.IFS(Table14[[#This Row],[Revenue]]&gt;10000,"High",AND(Table14[[#This Row],[Revenue]]&gt;=5000,Table14[[#This Row],[Revenue]]&lt;=10000),"Medium",Table14[[#This Row],[Revenue]]&lt;5000,"Low")</f>
        <v>Low</v>
      </c>
      <c r="V291" s="3"/>
    </row>
    <row r="292" spans="1:22" x14ac:dyDescent="0.35">
      <c r="A292" s="8">
        <v>1042</v>
      </c>
      <c r="B292" s="2">
        <v>46188</v>
      </c>
      <c r="C292" t="s">
        <v>43</v>
      </c>
      <c r="D292" t="s">
        <v>47</v>
      </c>
      <c r="E292" t="s">
        <v>87</v>
      </c>
      <c r="F292" t="s">
        <v>33</v>
      </c>
      <c r="G292" t="s">
        <v>61</v>
      </c>
      <c r="H292">
        <v>3</v>
      </c>
      <c r="I292" s="8">
        <v>698.16</v>
      </c>
      <c r="J292" s="8">
        <v>0</v>
      </c>
      <c r="K292" s="14">
        <v>2094.48</v>
      </c>
      <c r="L292" t="s">
        <v>35</v>
      </c>
      <c r="M292" t="s">
        <v>36</v>
      </c>
      <c r="N292" s="14">
        <f>Table14[[#This Row],[Quantity]]*Table14[[#This Row],[UnitPrice]]*(1-Table14[[#This Row],[Discount]])</f>
        <v>2094.48</v>
      </c>
      <c r="O292" s="8">
        <f>YEAR(Table14[[#This Row],[OrderDate]])</f>
        <v>2026</v>
      </c>
      <c r="P292" s="8" t="str">
        <f>TEXT(Table14[[#This Row],[OrderDate]],"mmmm")</f>
        <v>June</v>
      </c>
      <c r="Q292" s="8" t="str">
        <f t="shared" si="12"/>
        <v>Q2</v>
      </c>
      <c r="R292" s="3">
        <f>Table14[[#This Row],[Revenue]]*25%</f>
        <v>523.62</v>
      </c>
      <c r="S292" s="3">
        <f t="shared" si="13"/>
        <v>377.00639999999999</v>
      </c>
      <c r="T292" s="14">
        <f t="shared" si="14"/>
        <v>1717.4736</v>
      </c>
      <c r="U292" s="3" t="str">
        <f t="array" ref="U292">_xlfn.IFS(Table14[[#This Row],[Revenue]]&gt;10000,"High",AND(Table14[[#This Row],[Revenue]]&gt;=5000,Table14[[#This Row],[Revenue]]&lt;=10000),"Medium",Table14[[#This Row],[Revenue]]&lt;5000,"Low")</f>
        <v>Low</v>
      </c>
      <c r="V292" s="3"/>
    </row>
    <row r="293" spans="1:22" x14ac:dyDescent="0.35">
      <c r="A293" s="8">
        <v>1242</v>
      </c>
      <c r="B293" s="2">
        <v>46188</v>
      </c>
      <c r="C293" t="s">
        <v>14</v>
      </c>
      <c r="D293" t="s">
        <v>22</v>
      </c>
      <c r="E293" t="s">
        <v>114</v>
      </c>
      <c r="F293" t="s">
        <v>17</v>
      </c>
      <c r="G293" t="s">
        <v>18</v>
      </c>
      <c r="H293">
        <v>2</v>
      </c>
      <c r="I293" s="8">
        <v>288.26</v>
      </c>
      <c r="J293" s="8">
        <v>0.15</v>
      </c>
      <c r="K293" s="14">
        <v>490.04</v>
      </c>
      <c r="L293" t="s">
        <v>19</v>
      </c>
      <c r="M293" t="s">
        <v>36</v>
      </c>
      <c r="N293" s="14">
        <f>Table14[[#This Row],[Quantity]]*Table14[[#This Row],[UnitPrice]]*(1-Table14[[#This Row],[Discount]])</f>
        <v>490.04199999999997</v>
      </c>
      <c r="O293" s="8">
        <f>YEAR(Table14[[#This Row],[OrderDate]])</f>
        <v>2026</v>
      </c>
      <c r="P293" s="8" t="str">
        <f>TEXT(Table14[[#This Row],[OrderDate]],"mmmm")</f>
        <v>June</v>
      </c>
      <c r="Q293" s="8" t="str">
        <f t="shared" si="12"/>
        <v>Q2</v>
      </c>
      <c r="R293" s="3">
        <f>Table14[[#This Row],[Revenue]]*25%</f>
        <v>122.51</v>
      </c>
      <c r="S293" s="3">
        <f t="shared" si="13"/>
        <v>88.2072</v>
      </c>
      <c r="T293" s="14">
        <f t="shared" si="14"/>
        <v>401.83280000000002</v>
      </c>
      <c r="U293" s="3" t="str">
        <f t="array" ref="U293">_xlfn.IFS(Table14[[#This Row],[Revenue]]&gt;10000,"High",AND(Table14[[#This Row],[Revenue]]&gt;=5000,Table14[[#This Row],[Revenue]]&lt;=10000),"Medium",Table14[[#This Row],[Revenue]]&lt;5000,"Low")</f>
        <v>Low</v>
      </c>
      <c r="V293" s="3"/>
    </row>
    <row r="294" spans="1:22" x14ac:dyDescent="0.35">
      <c r="A294" s="8">
        <v>1251</v>
      </c>
      <c r="B294" s="2">
        <v>46190</v>
      </c>
      <c r="C294" t="s">
        <v>43</v>
      </c>
      <c r="D294" t="s">
        <v>54</v>
      </c>
      <c r="E294" t="s">
        <v>77</v>
      </c>
      <c r="F294" t="s">
        <v>33</v>
      </c>
      <c r="G294" t="s">
        <v>34</v>
      </c>
      <c r="H294">
        <v>1</v>
      </c>
      <c r="I294" s="8">
        <v>901.45</v>
      </c>
      <c r="J294" s="8">
        <v>0.1</v>
      </c>
      <c r="K294" s="14">
        <v>811.31</v>
      </c>
      <c r="L294" t="s">
        <v>35</v>
      </c>
      <c r="M294" t="s">
        <v>36</v>
      </c>
      <c r="N294" s="14">
        <f>Table14[[#This Row],[Quantity]]*Table14[[#This Row],[UnitPrice]]*(1-Table14[[#This Row],[Discount]])</f>
        <v>811.30500000000006</v>
      </c>
      <c r="O294" s="8">
        <f>YEAR(Table14[[#This Row],[OrderDate]])</f>
        <v>2026</v>
      </c>
      <c r="P294" s="8" t="str">
        <f>TEXT(Table14[[#This Row],[OrderDate]],"mmmm")</f>
        <v>June</v>
      </c>
      <c r="Q294" s="8" t="str">
        <f t="shared" si="12"/>
        <v>Q2</v>
      </c>
      <c r="R294" s="3">
        <f>Table14[[#This Row],[Revenue]]*25%</f>
        <v>202.82749999999999</v>
      </c>
      <c r="S294" s="3">
        <f t="shared" si="13"/>
        <v>146.03579999999999</v>
      </c>
      <c r="T294" s="14">
        <f t="shared" si="14"/>
        <v>665.27419999999995</v>
      </c>
      <c r="U294" s="3" t="str">
        <f t="array" ref="U294">_xlfn.IFS(Table14[[#This Row],[Revenue]]&gt;10000,"High",AND(Table14[[#This Row],[Revenue]]&gt;=5000,Table14[[#This Row],[Revenue]]&lt;=10000),"Medium",Table14[[#This Row],[Revenue]]&lt;5000,"Low")</f>
        <v>Low</v>
      </c>
      <c r="V294" s="3"/>
    </row>
    <row r="295" spans="1:22" x14ac:dyDescent="0.35">
      <c r="A295" s="8">
        <v>1135</v>
      </c>
      <c r="B295" s="2">
        <v>46192</v>
      </c>
      <c r="C295" t="s">
        <v>27</v>
      </c>
      <c r="D295" t="s">
        <v>54</v>
      </c>
      <c r="E295" t="s">
        <v>81</v>
      </c>
      <c r="F295" t="s">
        <v>17</v>
      </c>
      <c r="G295" t="s">
        <v>18</v>
      </c>
      <c r="H295">
        <v>6</v>
      </c>
      <c r="I295" s="8">
        <v>713.97</v>
      </c>
      <c r="J295" s="8">
        <v>0.15</v>
      </c>
      <c r="K295" s="14">
        <v>3641.25</v>
      </c>
      <c r="L295" t="s">
        <v>19</v>
      </c>
      <c r="M295" t="s">
        <v>20</v>
      </c>
      <c r="N295" s="14">
        <f>Table14[[#This Row],[Quantity]]*Table14[[#This Row],[UnitPrice]]*(1-Table14[[#This Row],[Discount]])</f>
        <v>3641.2469999999998</v>
      </c>
      <c r="O295" s="8">
        <f>YEAR(Table14[[#This Row],[OrderDate]])</f>
        <v>2026</v>
      </c>
      <c r="P295" s="8" t="str">
        <f>TEXT(Table14[[#This Row],[OrderDate]],"mmmm")</f>
        <v>June</v>
      </c>
      <c r="Q295" s="8" t="str">
        <f t="shared" si="12"/>
        <v>Q2</v>
      </c>
      <c r="R295" s="3">
        <f>Table14[[#This Row],[Revenue]]*25%</f>
        <v>910.3125</v>
      </c>
      <c r="S295" s="3">
        <f t="shared" si="13"/>
        <v>655.42499999999995</v>
      </c>
      <c r="T295" s="14">
        <f t="shared" si="14"/>
        <v>2985.8249999999998</v>
      </c>
      <c r="U295" s="3" t="str">
        <f t="array" ref="U295">_xlfn.IFS(Table14[[#This Row],[Revenue]]&gt;10000,"High",AND(Table14[[#This Row],[Revenue]]&gt;=5000,Table14[[#This Row],[Revenue]]&lt;=10000),"Medium",Table14[[#This Row],[Revenue]]&lt;5000,"Low")</f>
        <v>Low</v>
      </c>
      <c r="V295" s="3"/>
    </row>
    <row r="296" spans="1:22" x14ac:dyDescent="0.35">
      <c r="A296" s="8">
        <v>1187</v>
      </c>
      <c r="B296" s="2">
        <v>46194</v>
      </c>
      <c r="C296" t="s">
        <v>27</v>
      </c>
      <c r="D296" t="s">
        <v>28</v>
      </c>
      <c r="E296" t="s">
        <v>16</v>
      </c>
      <c r="F296" t="s">
        <v>33</v>
      </c>
      <c r="G296" t="s">
        <v>53</v>
      </c>
      <c r="H296">
        <v>7</v>
      </c>
      <c r="I296" s="8">
        <v>560.34</v>
      </c>
      <c r="J296" s="8">
        <v>0.15</v>
      </c>
      <c r="K296" s="14">
        <v>3334.02</v>
      </c>
      <c r="L296" t="s">
        <v>19</v>
      </c>
      <c r="M296" t="s">
        <v>20</v>
      </c>
      <c r="N296" s="14">
        <f>Table14[[#This Row],[Quantity]]*Table14[[#This Row],[UnitPrice]]*(1-Table14[[#This Row],[Discount]])</f>
        <v>3334.0230000000001</v>
      </c>
      <c r="O296" s="8">
        <f>YEAR(Table14[[#This Row],[OrderDate]])</f>
        <v>2026</v>
      </c>
      <c r="P296" s="8" t="str">
        <f>TEXT(Table14[[#This Row],[OrderDate]],"mmmm")</f>
        <v>June</v>
      </c>
      <c r="Q296" s="8" t="str">
        <f t="shared" si="12"/>
        <v>Q2</v>
      </c>
      <c r="R296" s="3">
        <f>Table14[[#This Row],[Revenue]]*25%</f>
        <v>833.505</v>
      </c>
      <c r="S296" s="3">
        <f t="shared" si="13"/>
        <v>600.12360000000001</v>
      </c>
      <c r="T296" s="14">
        <f t="shared" si="14"/>
        <v>2733.8964000000001</v>
      </c>
      <c r="U296" s="3" t="str">
        <f t="array" ref="U296">_xlfn.IFS(Table14[[#This Row],[Revenue]]&gt;10000,"High",AND(Table14[[#This Row],[Revenue]]&gt;=5000,Table14[[#This Row],[Revenue]]&lt;=10000),"Medium",Table14[[#This Row],[Revenue]]&lt;5000,"Low")</f>
        <v>Low</v>
      </c>
      <c r="V296" s="3"/>
    </row>
    <row r="297" spans="1:22" x14ac:dyDescent="0.35">
      <c r="A297" s="8">
        <v>1027</v>
      </c>
      <c r="B297" s="2">
        <v>46195</v>
      </c>
      <c r="C297" t="s">
        <v>43</v>
      </c>
      <c r="D297" t="s">
        <v>47</v>
      </c>
      <c r="E297" t="s">
        <v>50</v>
      </c>
      <c r="F297" t="s">
        <v>24</v>
      </c>
      <c r="G297" t="s">
        <v>38</v>
      </c>
      <c r="H297" s="8">
        <v>15</v>
      </c>
      <c r="I297" s="8">
        <v>962.28</v>
      </c>
      <c r="J297" s="8">
        <v>0.1</v>
      </c>
      <c r="K297" s="14">
        <v>12990.78</v>
      </c>
      <c r="L297" t="s">
        <v>19</v>
      </c>
      <c r="M297" t="s">
        <v>20</v>
      </c>
      <c r="N297" s="14">
        <f>Table14[[#This Row],[Quantity]]*Table14[[#This Row],[UnitPrice]]*(1-Table14[[#This Row],[Discount]])</f>
        <v>12990.779999999999</v>
      </c>
      <c r="O297" s="8">
        <f>YEAR(Table14[[#This Row],[OrderDate]])</f>
        <v>2026</v>
      </c>
      <c r="P297" s="8" t="str">
        <f>TEXT(Table14[[#This Row],[OrderDate]],"mmmm")</f>
        <v>June</v>
      </c>
      <c r="Q297" s="8" t="str">
        <f t="shared" si="12"/>
        <v>Q2</v>
      </c>
      <c r="R297" s="3">
        <f>Table14[[#This Row],[Revenue]]*25%</f>
        <v>3247.6950000000002</v>
      </c>
      <c r="S297" s="3">
        <f t="shared" si="13"/>
        <v>2338.3404</v>
      </c>
      <c r="T297" s="14">
        <f t="shared" si="14"/>
        <v>10652.439600000002</v>
      </c>
      <c r="U297" s="3" t="str">
        <f t="array" ref="U297">_xlfn.IFS(Table14[[#This Row],[Revenue]]&gt;10000,"High",AND(Table14[[#This Row],[Revenue]]&gt;=5000,Table14[[#This Row],[Revenue]]&lt;=10000),"Medium",Table14[[#This Row],[Revenue]]&lt;5000,"Low")</f>
        <v>High</v>
      </c>
      <c r="V297" s="3"/>
    </row>
    <row r="298" spans="1:22" x14ac:dyDescent="0.35">
      <c r="A298" s="8">
        <v>1149</v>
      </c>
      <c r="B298" s="2">
        <v>46195</v>
      </c>
      <c r="C298" t="s">
        <v>21</v>
      </c>
      <c r="D298" t="s">
        <v>28</v>
      </c>
      <c r="E298" t="s">
        <v>69</v>
      </c>
      <c r="F298" t="s">
        <v>17</v>
      </c>
      <c r="G298" t="s">
        <v>46</v>
      </c>
      <c r="H298">
        <v>10</v>
      </c>
      <c r="I298" s="8">
        <v>1063.48</v>
      </c>
      <c r="J298" s="8">
        <v>0.05</v>
      </c>
      <c r="K298" s="14">
        <v>10103.06</v>
      </c>
      <c r="L298" t="s">
        <v>35</v>
      </c>
      <c r="M298" t="s">
        <v>26</v>
      </c>
      <c r="N298" s="14">
        <f>Table14[[#This Row],[Quantity]]*Table14[[#This Row],[UnitPrice]]*(1-Table14[[#This Row],[Discount]])</f>
        <v>10103.06</v>
      </c>
      <c r="O298" s="8">
        <f>YEAR(Table14[[#This Row],[OrderDate]])</f>
        <v>2026</v>
      </c>
      <c r="P298" s="8" t="str">
        <f>TEXT(Table14[[#This Row],[OrderDate]],"mmmm")</f>
        <v>June</v>
      </c>
      <c r="Q298" s="8" t="str">
        <f t="shared" si="12"/>
        <v>Q2</v>
      </c>
      <c r="R298" s="3">
        <f>Table14[[#This Row],[Revenue]]*25%</f>
        <v>2525.7649999999999</v>
      </c>
      <c r="S298" s="3">
        <f t="shared" si="13"/>
        <v>1818.5507999999998</v>
      </c>
      <c r="T298" s="14">
        <f t="shared" si="14"/>
        <v>8284.5092000000004</v>
      </c>
      <c r="U298" s="3" t="str">
        <f t="array" ref="U298">_xlfn.IFS(Table14[[#This Row],[Revenue]]&gt;10000,"High",AND(Table14[[#This Row],[Revenue]]&gt;=5000,Table14[[#This Row],[Revenue]]&lt;=10000),"Medium",Table14[[#This Row],[Revenue]]&lt;5000,"Low")</f>
        <v>High</v>
      </c>
      <c r="V298" s="3"/>
    </row>
    <row r="299" spans="1:22" x14ac:dyDescent="0.35">
      <c r="A299" s="8">
        <v>1106</v>
      </c>
      <c r="B299" s="2">
        <v>46196</v>
      </c>
      <c r="C299" t="s">
        <v>43</v>
      </c>
      <c r="D299" t="s">
        <v>15</v>
      </c>
      <c r="E299" t="s">
        <v>85</v>
      </c>
      <c r="F299" t="s">
        <v>24</v>
      </c>
      <c r="G299" t="s">
        <v>25</v>
      </c>
      <c r="H299">
        <v>15</v>
      </c>
      <c r="I299" s="8">
        <v>564.28</v>
      </c>
      <c r="J299" s="8">
        <v>0</v>
      </c>
      <c r="K299" s="14">
        <v>8464.2000000000007</v>
      </c>
      <c r="L299" t="s">
        <v>35</v>
      </c>
      <c r="M299" t="s">
        <v>36</v>
      </c>
      <c r="N299" s="14">
        <f>Table14[[#This Row],[Quantity]]*Table14[[#This Row],[UnitPrice]]*(1-Table14[[#This Row],[Discount]])</f>
        <v>8464.1999999999989</v>
      </c>
      <c r="O299" s="8">
        <f>YEAR(Table14[[#This Row],[OrderDate]])</f>
        <v>2026</v>
      </c>
      <c r="P299" s="8" t="str">
        <f>TEXT(Table14[[#This Row],[OrderDate]],"mmmm")</f>
        <v>June</v>
      </c>
      <c r="Q299" s="8" t="str">
        <f t="shared" si="12"/>
        <v>Q2</v>
      </c>
      <c r="R299" s="3">
        <f>Table14[[#This Row],[Revenue]]*25%</f>
        <v>2116.0500000000002</v>
      </c>
      <c r="S299" s="3">
        <f t="shared" si="13"/>
        <v>1523.556</v>
      </c>
      <c r="T299" s="14">
        <f t="shared" si="14"/>
        <v>6940.6440000000002</v>
      </c>
      <c r="U299" s="3" t="str">
        <f t="array" ref="U299">_xlfn.IFS(Table14[[#This Row],[Revenue]]&gt;10000,"High",AND(Table14[[#This Row],[Revenue]]&gt;=5000,Table14[[#This Row],[Revenue]]&lt;=10000),"Medium",Table14[[#This Row],[Revenue]]&lt;5000,"Low")</f>
        <v>Medium</v>
      </c>
      <c r="V299" s="3"/>
    </row>
    <row r="300" spans="1:22" x14ac:dyDescent="0.35">
      <c r="A300" s="8">
        <v>1151</v>
      </c>
      <c r="B300" s="2">
        <v>46197</v>
      </c>
      <c r="C300" t="s">
        <v>27</v>
      </c>
      <c r="D300" t="s">
        <v>31</v>
      </c>
      <c r="E300" t="s">
        <v>97</v>
      </c>
      <c r="F300" t="s">
        <v>17</v>
      </c>
      <c r="G300" t="s">
        <v>46</v>
      </c>
      <c r="H300">
        <v>3</v>
      </c>
      <c r="I300" s="8">
        <v>411.34</v>
      </c>
      <c r="J300" s="8">
        <v>0</v>
      </c>
      <c r="K300" s="14">
        <v>1234.02</v>
      </c>
      <c r="L300" t="s">
        <v>19</v>
      </c>
      <c r="M300" t="s">
        <v>26</v>
      </c>
      <c r="N300" s="14">
        <f>Table14[[#This Row],[Quantity]]*Table14[[#This Row],[UnitPrice]]*(1-Table14[[#This Row],[Discount]])</f>
        <v>1234.02</v>
      </c>
      <c r="O300" s="8">
        <f>YEAR(Table14[[#This Row],[OrderDate]])</f>
        <v>2026</v>
      </c>
      <c r="P300" s="8" t="str">
        <f>TEXT(Table14[[#This Row],[OrderDate]],"mmmm")</f>
        <v>June</v>
      </c>
      <c r="Q300" s="8" t="str">
        <f t="shared" si="12"/>
        <v>Q2</v>
      </c>
      <c r="R300" s="3">
        <f>Table14[[#This Row],[Revenue]]*25%</f>
        <v>308.505</v>
      </c>
      <c r="S300" s="3">
        <f t="shared" si="13"/>
        <v>222.12359999999998</v>
      </c>
      <c r="T300" s="14">
        <f t="shared" si="14"/>
        <v>1011.8964</v>
      </c>
      <c r="U300" s="3" t="str">
        <f t="array" ref="U300">_xlfn.IFS(Table14[[#This Row],[Revenue]]&gt;10000,"High",AND(Table14[[#This Row],[Revenue]]&gt;=5000,Table14[[#This Row],[Revenue]]&lt;=10000),"Medium",Table14[[#This Row],[Revenue]]&lt;5000,"Low")</f>
        <v>Low</v>
      </c>
      <c r="V300" s="3"/>
    </row>
    <row r="301" spans="1:22" x14ac:dyDescent="0.35">
      <c r="A301" s="8">
        <v>1049</v>
      </c>
      <c r="B301" s="2">
        <v>46198</v>
      </c>
      <c r="C301" t="s">
        <v>14</v>
      </c>
      <c r="D301" t="s">
        <v>28</v>
      </c>
      <c r="E301" t="s">
        <v>59</v>
      </c>
      <c r="F301" t="s">
        <v>24</v>
      </c>
      <c r="G301" t="s">
        <v>63</v>
      </c>
      <c r="H301">
        <v>6</v>
      </c>
      <c r="I301" s="8">
        <v>447.58</v>
      </c>
      <c r="J301" s="8">
        <v>0.15</v>
      </c>
      <c r="K301" s="14">
        <v>2282.66</v>
      </c>
      <c r="L301" t="s">
        <v>19</v>
      </c>
      <c r="M301" t="s">
        <v>36</v>
      </c>
      <c r="N301" s="14">
        <f>Table14[[#This Row],[Quantity]]*Table14[[#This Row],[UnitPrice]]*(1-Table14[[#This Row],[Discount]])</f>
        <v>2282.6579999999999</v>
      </c>
      <c r="O301" s="8">
        <f>YEAR(Table14[[#This Row],[OrderDate]])</f>
        <v>2026</v>
      </c>
      <c r="P301" s="8" t="str">
        <f>TEXT(Table14[[#This Row],[OrderDate]],"mmmm")</f>
        <v>June</v>
      </c>
      <c r="Q301" s="8" t="str">
        <f t="shared" si="12"/>
        <v>Q2</v>
      </c>
      <c r="R301" s="3">
        <f>Table14[[#This Row],[Revenue]]*25%</f>
        <v>570.66499999999996</v>
      </c>
      <c r="S301" s="3">
        <f t="shared" si="13"/>
        <v>410.87879999999996</v>
      </c>
      <c r="T301" s="14">
        <f t="shared" si="14"/>
        <v>1871.7811999999999</v>
      </c>
      <c r="U301" s="3" t="str">
        <f t="array" ref="U301">_xlfn.IFS(Table14[[#This Row],[Revenue]]&gt;10000,"High",AND(Table14[[#This Row],[Revenue]]&gt;=5000,Table14[[#This Row],[Revenue]]&lt;=10000),"Medium",Table14[[#This Row],[Revenue]]&lt;5000,"Low")</f>
        <v>Low</v>
      </c>
      <c r="V301" s="3"/>
    </row>
    <row r="302" spans="1:22" x14ac:dyDescent="0.35">
      <c r="A302" s="8"/>
      <c r="B302" s="2"/>
      <c r="I302" s="8"/>
      <c r="J302" s="8"/>
      <c r="K302" s="14"/>
      <c r="N302" s="14"/>
      <c r="O302" s="8"/>
      <c r="P302" s="8"/>
      <c r="Q302" s="8"/>
      <c r="R302" s="3"/>
      <c r="S302" s="3"/>
      <c r="T302" s="14"/>
      <c r="U302" s="3"/>
      <c r="V302" s="8" t="s">
        <v>179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01"/>
  <sheetViews>
    <sheetView topLeftCell="A167" zoomScale="103" workbookViewId="0">
      <selection activeCell="D29" sqref="D29"/>
    </sheetView>
  </sheetViews>
  <sheetFormatPr defaultRowHeight="14.5" x14ac:dyDescent="0.35"/>
  <cols>
    <col min="1" max="1" width="9" style="10" customWidth="1"/>
    <col min="2" max="2" width="13.7265625" style="10" customWidth="1"/>
    <col min="3" max="3" width="9.453125" style="10" customWidth="1"/>
    <col min="4" max="4" width="16.81640625" style="10" customWidth="1"/>
    <col min="5" max="5" width="16.7265625" style="10" customWidth="1"/>
    <col min="6" max="6" width="14.90625" style="10" customWidth="1"/>
    <col min="7" max="8" width="13.26953125" style="10" customWidth="1"/>
    <col min="9" max="9" width="13.1796875" style="10" customWidth="1"/>
    <col min="10" max="10" width="12.7265625" style="10" customWidth="1"/>
    <col min="11" max="11" width="12.36328125" style="10" customWidth="1"/>
    <col min="12" max="12" width="12.08984375" style="10" customWidth="1"/>
    <col min="13" max="13" width="13.54296875" style="10" customWidth="1"/>
    <col min="14" max="14" width="17.453125" style="10" customWidth="1"/>
  </cols>
  <sheetData>
    <row r="1" spans="1:14" ht="32.5" customHeight="1" x14ac:dyDescent="0.35">
      <c r="A1" s="21" t="s">
        <v>0</v>
      </c>
      <c r="B1" s="22" t="s">
        <v>1</v>
      </c>
      <c r="C1" s="23" t="s">
        <v>2</v>
      </c>
      <c r="D1" s="23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</row>
    <row r="2" spans="1:14" hidden="1" x14ac:dyDescent="0.35">
      <c r="A2" s="8">
        <v>1044</v>
      </c>
      <c r="B2" s="2">
        <v>45658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s="8">
        <v>9</v>
      </c>
      <c r="I2" s="8">
        <v>335.89</v>
      </c>
      <c r="J2" s="8">
        <v>0</v>
      </c>
      <c r="K2" s="3">
        <v>3023.01</v>
      </c>
      <c r="L2" t="s">
        <v>19</v>
      </c>
      <c r="M2" t="s">
        <v>20</v>
      </c>
      <c r="N2" s="3">
        <f>Table13[[#This Row],[Quantity]]*Table13[[#This Row],[UnitPrice]]*(1-Table13[[#This Row],[Discount]])</f>
        <v>3023.0099999999998</v>
      </c>
    </row>
    <row r="3" spans="1:14" hidden="1" x14ac:dyDescent="0.35">
      <c r="A3" s="8">
        <v>1276</v>
      </c>
      <c r="B3" s="2">
        <v>45658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s="8">
        <v>4</v>
      </c>
      <c r="I3" s="8">
        <v>674.92</v>
      </c>
      <c r="J3" s="8">
        <v>0</v>
      </c>
      <c r="K3" s="3">
        <v>2699.68</v>
      </c>
      <c r="L3" t="s">
        <v>19</v>
      </c>
      <c r="M3" t="s">
        <v>26</v>
      </c>
      <c r="N3" s="3">
        <f>Table13[[#This Row],[Quantity]]*Table13[[#This Row],[UnitPrice]]*(1-Table13[[#This Row],[Discount]])</f>
        <v>2699.68</v>
      </c>
    </row>
    <row r="4" spans="1:14" hidden="1" x14ac:dyDescent="0.35">
      <c r="A4" s="8">
        <v>1210</v>
      </c>
      <c r="B4" s="2">
        <v>45663</v>
      </c>
      <c r="C4" t="s">
        <v>27</v>
      </c>
      <c r="D4" t="s">
        <v>28</v>
      </c>
      <c r="E4" t="s">
        <v>29</v>
      </c>
      <c r="F4" t="s">
        <v>17</v>
      </c>
      <c r="G4" t="s">
        <v>30</v>
      </c>
      <c r="H4" s="8">
        <v>13</v>
      </c>
      <c r="I4" s="8">
        <v>519.66</v>
      </c>
      <c r="J4" s="8">
        <v>0.15</v>
      </c>
      <c r="K4" s="3">
        <v>5742.24</v>
      </c>
      <c r="L4" t="s">
        <v>19</v>
      </c>
      <c r="M4" t="s">
        <v>26</v>
      </c>
      <c r="N4" s="3">
        <f>Table13[[#This Row],[Quantity]]*Table13[[#This Row],[UnitPrice]]*(1-Table13[[#This Row],[Discount]])</f>
        <v>5742.2429999999995</v>
      </c>
    </row>
    <row r="5" spans="1:14" hidden="1" x14ac:dyDescent="0.35">
      <c r="A5" s="8">
        <v>1071</v>
      </c>
      <c r="B5" s="2">
        <v>45669</v>
      </c>
      <c r="C5" t="s">
        <v>14</v>
      </c>
      <c r="D5" t="s">
        <v>31</v>
      </c>
      <c r="E5" t="s">
        <v>32</v>
      </c>
      <c r="F5" t="s">
        <v>33</v>
      </c>
      <c r="G5" t="s">
        <v>34</v>
      </c>
      <c r="H5" s="8">
        <v>8</v>
      </c>
      <c r="I5" s="8">
        <v>1086.6600000000001</v>
      </c>
      <c r="J5" s="8">
        <v>0.15</v>
      </c>
      <c r="K5" s="3">
        <v>7389.29</v>
      </c>
      <c r="L5" t="s">
        <v>35</v>
      </c>
      <c r="M5" t="s">
        <v>36</v>
      </c>
      <c r="N5" s="3">
        <f>Table13[[#This Row],[Quantity]]*Table13[[#This Row],[UnitPrice]]*(1-Table13[[#This Row],[Discount]])</f>
        <v>7389.2880000000005</v>
      </c>
    </row>
    <row r="6" spans="1:14" hidden="1" x14ac:dyDescent="0.35">
      <c r="A6" s="8">
        <v>1026</v>
      </c>
      <c r="B6" s="2">
        <v>45670</v>
      </c>
      <c r="C6" t="s">
        <v>27</v>
      </c>
      <c r="D6" t="s">
        <v>22</v>
      </c>
      <c r="E6" t="s">
        <v>37</v>
      </c>
      <c r="F6" t="s">
        <v>24</v>
      </c>
      <c r="G6" t="s">
        <v>38</v>
      </c>
      <c r="H6" s="8">
        <v>14</v>
      </c>
      <c r="I6" s="8">
        <v>40.020000000000003</v>
      </c>
      <c r="J6" s="8">
        <v>0.15</v>
      </c>
      <c r="K6" s="3">
        <v>476.24</v>
      </c>
      <c r="L6" t="s">
        <v>39</v>
      </c>
      <c r="M6" t="s">
        <v>36</v>
      </c>
      <c r="N6" s="3">
        <f>Table13[[#This Row],[Quantity]]*Table13[[#This Row],[UnitPrice]]*(1-Table13[[#This Row],[Discount]])</f>
        <v>476.23800000000006</v>
      </c>
    </row>
    <row r="7" spans="1:14" hidden="1" x14ac:dyDescent="0.35">
      <c r="A7" s="8">
        <v>1222</v>
      </c>
      <c r="B7" s="2">
        <v>45672</v>
      </c>
      <c r="C7" t="s">
        <v>14</v>
      </c>
      <c r="D7" t="s">
        <v>31</v>
      </c>
      <c r="E7" t="s">
        <v>40</v>
      </c>
      <c r="F7" t="s">
        <v>17</v>
      </c>
      <c r="G7" t="s">
        <v>18</v>
      </c>
      <c r="H7" s="8">
        <v>9</v>
      </c>
      <c r="I7" s="8">
        <v>148.43</v>
      </c>
      <c r="J7" s="8">
        <v>0</v>
      </c>
      <c r="K7" s="3">
        <v>1335.87</v>
      </c>
      <c r="L7" t="s">
        <v>35</v>
      </c>
      <c r="M7" t="s">
        <v>36</v>
      </c>
      <c r="N7" s="3">
        <f>Table13[[#This Row],[Quantity]]*Table13[[#This Row],[UnitPrice]]*(1-Table13[[#This Row],[Discount]])</f>
        <v>1335.8700000000001</v>
      </c>
    </row>
    <row r="8" spans="1:14" hidden="1" x14ac:dyDescent="0.35">
      <c r="A8" s="8">
        <v>1147</v>
      </c>
      <c r="B8" s="2">
        <v>45673</v>
      </c>
      <c r="C8" t="s">
        <v>27</v>
      </c>
      <c r="D8" t="s">
        <v>28</v>
      </c>
      <c r="E8" t="s">
        <v>41</v>
      </c>
      <c r="F8" t="s">
        <v>24</v>
      </c>
      <c r="G8" t="s">
        <v>38</v>
      </c>
      <c r="H8" s="8">
        <v>9</v>
      </c>
      <c r="I8" s="8">
        <v>96.87</v>
      </c>
      <c r="J8" s="8">
        <v>0.05</v>
      </c>
      <c r="K8" s="3">
        <v>828.24</v>
      </c>
      <c r="L8" t="s">
        <v>39</v>
      </c>
      <c r="M8" t="s">
        <v>36</v>
      </c>
      <c r="N8" s="3">
        <f>Table13[[#This Row],[Quantity]]*Table13[[#This Row],[UnitPrice]]*(1-Table13[[#This Row],[Discount]])</f>
        <v>828.23850000000004</v>
      </c>
    </row>
    <row r="9" spans="1:14" hidden="1" x14ac:dyDescent="0.35">
      <c r="A9" s="8">
        <v>1069</v>
      </c>
      <c r="B9" s="2">
        <v>45674</v>
      </c>
      <c r="C9" t="s">
        <v>14</v>
      </c>
      <c r="D9" t="s">
        <v>31</v>
      </c>
      <c r="E9" t="s">
        <v>42</v>
      </c>
      <c r="F9" t="s">
        <v>17</v>
      </c>
      <c r="G9" t="s">
        <v>18</v>
      </c>
      <c r="H9" s="8">
        <v>4</v>
      </c>
      <c r="I9" s="8">
        <v>644.44000000000005</v>
      </c>
      <c r="J9" s="8">
        <v>0.05</v>
      </c>
      <c r="K9" s="3">
        <v>2448.87</v>
      </c>
      <c r="L9" t="s">
        <v>19</v>
      </c>
      <c r="M9" t="s">
        <v>26</v>
      </c>
      <c r="N9" s="3">
        <f>Table13[[#This Row],[Quantity]]*Table13[[#This Row],[UnitPrice]]*(1-Table13[[#This Row],[Discount]])</f>
        <v>2448.8720000000003</v>
      </c>
    </row>
    <row r="10" spans="1:14" x14ac:dyDescent="0.35">
      <c r="A10" s="4">
        <v>1090</v>
      </c>
      <c r="B10" s="5">
        <v>45675</v>
      </c>
      <c r="C10" s="6" t="s">
        <v>43</v>
      </c>
      <c r="D10" s="6" t="s">
        <v>15</v>
      </c>
      <c r="E10" s="6" t="s">
        <v>44</v>
      </c>
      <c r="F10" s="6" t="s">
        <v>33</v>
      </c>
      <c r="G10" s="6" t="s">
        <v>34</v>
      </c>
      <c r="H10" s="4">
        <v>9</v>
      </c>
      <c r="I10" s="4">
        <v>113.96</v>
      </c>
      <c r="J10" s="4">
        <v>0.05</v>
      </c>
      <c r="K10" s="7">
        <v>974.36</v>
      </c>
      <c r="L10" s="6" t="s">
        <v>19</v>
      </c>
      <c r="M10" s="6" t="s">
        <v>36</v>
      </c>
      <c r="N10" s="7">
        <f>Table13[[#This Row],[Quantity]]*Table13[[#This Row],[UnitPrice]]*(1-Table13[[#This Row],[Discount]])</f>
        <v>974.35799999999983</v>
      </c>
    </row>
    <row r="11" spans="1:14" hidden="1" x14ac:dyDescent="0.35">
      <c r="A11" s="8">
        <v>1143</v>
      </c>
      <c r="B11" s="2">
        <v>45677</v>
      </c>
      <c r="C11" t="s">
        <v>27</v>
      </c>
      <c r="D11" t="s">
        <v>47</v>
      </c>
      <c r="E11" t="s">
        <v>48</v>
      </c>
      <c r="F11" t="s">
        <v>24</v>
      </c>
      <c r="G11" t="s">
        <v>38</v>
      </c>
      <c r="H11" s="8">
        <v>6</v>
      </c>
      <c r="I11" s="8">
        <v>596.54</v>
      </c>
      <c r="J11" s="8">
        <v>0.15</v>
      </c>
      <c r="K11" s="3">
        <v>3042.35</v>
      </c>
      <c r="L11" t="s">
        <v>39</v>
      </c>
      <c r="M11" t="s">
        <v>26</v>
      </c>
      <c r="N11" s="3">
        <f>Table13[[#This Row],[Quantity]]*Table13[[#This Row],[UnitPrice]]*(1-Table13[[#This Row],[Discount]])</f>
        <v>3042.3539999999998</v>
      </c>
    </row>
    <row r="12" spans="1:14" hidden="1" x14ac:dyDescent="0.35">
      <c r="A12" s="8">
        <v>1078</v>
      </c>
      <c r="B12" s="2">
        <v>45677</v>
      </c>
      <c r="C12" t="s">
        <v>14</v>
      </c>
      <c r="D12" t="s">
        <v>22</v>
      </c>
      <c r="E12" t="s">
        <v>45</v>
      </c>
      <c r="F12" t="s">
        <v>17</v>
      </c>
      <c r="G12" t="s">
        <v>46</v>
      </c>
      <c r="H12" s="8">
        <v>13</v>
      </c>
      <c r="I12" s="8">
        <v>56.99</v>
      </c>
      <c r="J12" s="8">
        <v>0.1</v>
      </c>
      <c r="K12" s="3">
        <v>666.78</v>
      </c>
      <c r="L12" t="s">
        <v>19</v>
      </c>
      <c r="M12" t="s">
        <v>26</v>
      </c>
      <c r="N12" s="3">
        <f>Table13[[#This Row],[Quantity]]*Table13[[#This Row],[UnitPrice]]*(1-Table13[[#This Row],[Discount]])</f>
        <v>666.78300000000002</v>
      </c>
    </row>
    <row r="13" spans="1:14" hidden="1" x14ac:dyDescent="0.35">
      <c r="A13" s="8">
        <v>1270</v>
      </c>
      <c r="B13" s="2">
        <v>45679</v>
      </c>
      <c r="C13" t="s">
        <v>27</v>
      </c>
      <c r="D13" t="s">
        <v>31</v>
      </c>
      <c r="E13" t="s">
        <v>49</v>
      </c>
      <c r="F13" t="s">
        <v>17</v>
      </c>
      <c r="G13" t="s">
        <v>30</v>
      </c>
      <c r="H13" s="8">
        <v>1</v>
      </c>
      <c r="I13" s="8">
        <v>1107.9100000000001</v>
      </c>
      <c r="J13" s="8">
        <v>0.15</v>
      </c>
      <c r="K13" s="3">
        <v>941.72</v>
      </c>
      <c r="L13" t="s">
        <v>35</v>
      </c>
      <c r="M13" t="s">
        <v>20</v>
      </c>
      <c r="N13" s="3">
        <f>Table13[[#This Row],[Quantity]]*Table13[[#This Row],[UnitPrice]]*(1-Table13[[#This Row],[Discount]])</f>
        <v>941.72350000000006</v>
      </c>
    </row>
    <row r="14" spans="1:14" hidden="1" x14ac:dyDescent="0.35">
      <c r="A14" s="8">
        <v>1160</v>
      </c>
      <c r="B14" s="2">
        <v>45680</v>
      </c>
      <c r="C14" t="s">
        <v>14</v>
      </c>
      <c r="D14" t="s">
        <v>22</v>
      </c>
      <c r="E14" t="s">
        <v>50</v>
      </c>
      <c r="F14" t="s">
        <v>33</v>
      </c>
      <c r="G14" t="s">
        <v>34</v>
      </c>
      <c r="H14" s="8">
        <v>4</v>
      </c>
      <c r="I14" s="8">
        <v>986.26</v>
      </c>
      <c r="J14" s="8">
        <v>0</v>
      </c>
      <c r="K14" s="3">
        <v>3945.04</v>
      </c>
      <c r="L14" t="s">
        <v>39</v>
      </c>
      <c r="M14" t="s">
        <v>26</v>
      </c>
      <c r="N14" s="3">
        <f>Table13[[#This Row],[Quantity]]*Table13[[#This Row],[UnitPrice]]*(1-Table13[[#This Row],[Discount]])</f>
        <v>3945.04</v>
      </c>
    </row>
    <row r="15" spans="1:14" hidden="1" x14ac:dyDescent="0.35">
      <c r="A15" s="8">
        <v>1051</v>
      </c>
      <c r="B15" s="2">
        <v>45683</v>
      </c>
      <c r="C15" t="s">
        <v>21</v>
      </c>
      <c r="D15" t="s">
        <v>31</v>
      </c>
      <c r="E15" t="s">
        <v>51</v>
      </c>
      <c r="F15" t="s">
        <v>17</v>
      </c>
      <c r="G15" t="s">
        <v>30</v>
      </c>
      <c r="H15" s="8">
        <v>5</v>
      </c>
      <c r="I15" s="8">
        <v>30.22</v>
      </c>
      <c r="J15" s="8">
        <v>0.1</v>
      </c>
      <c r="K15" s="3">
        <v>135.99</v>
      </c>
      <c r="L15" t="s">
        <v>35</v>
      </c>
      <c r="M15" t="s">
        <v>26</v>
      </c>
      <c r="N15" s="3">
        <f>Table13[[#This Row],[Quantity]]*Table13[[#This Row],[UnitPrice]]*(1-Table13[[#This Row],[Discount]])</f>
        <v>135.99</v>
      </c>
    </row>
    <row r="16" spans="1:14" hidden="1" x14ac:dyDescent="0.35">
      <c r="A16" s="8">
        <v>1221</v>
      </c>
      <c r="B16" s="2">
        <v>45684</v>
      </c>
      <c r="C16" t="s">
        <v>21</v>
      </c>
      <c r="D16" t="s">
        <v>22</v>
      </c>
      <c r="E16" t="s">
        <v>52</v>
      </c>
      <c r="F16" t="s">
        <v>33</v>
      </c>
      <c r="G16" t="s">
        <v>53</v>
      </c>
      <c r="H16" s="8">
        <v>9</v>
      </c>
      <c r="I16" s="8">
        <v>594.99</v>
      </c>
      <c r="J16" s="8">
        <v>0.1</v>
      </c>
      <c r="K16" s="3">
        <v>4819.42</v>
      </c>
      <c r="L16" t="s">
        <v>39</v>
      </c>
      <c r="M16" t="s">
        <v>26</v>
      </c>
      <c r="N16" s="3">
        <f>Table13[[#This Row],[Quantity]]*Table13[[#This Row],[UnitPrice]]*(1-Table13[[#This Row],[Discount]])</f>
        <v>4819.4189999999999</v>
      </c>
    </row>
    <row r="17" spans="1:14" x14ac:dyDescent="0.35">
      <c r="A17" s="4">
        <v>1274</v>
      </c>
      <c r="B17" s="5">
        <v>45688</v>
      </c>
      <c r="C17" s="6" t="s">
        <v>43</v>
      </c>
      <c r="D17" s="6" t="s">
        <v>54</v>
      </c>
      <c r="E17" s="6" t="s">
        <v>55</v>
      </c>
      <c r="F17" s="6" t="s">
        <v>17</v>
      </c>
      <c r="G17" s="6" t="s">
        <v>46</v>
      </c>
      <c r="H17" s="4">
        <v>2</v>
      </c>
      <c r="I17" s="4">
        <v>136.44999999999999</v>
      </c>
      <c r="J17" s="4">
        <v>0.05</v>
      </c>
      <c r="K17" s="7">
        <v>259.25</v>
      </c>
      <c r="L17" s="6" t="s">
        <v>19</v>
      </c>
      <c r="M17" s="6" t="s">
        <v>20</v>
      </c>
      <c r="N17" s="7">
        <f>Table13[[#This Row],[Quantity]]*Table13[[#This Row],[UnitPrice]]*(1-Table13[[#This Row],[Discount]])</f>
        <v>259.25499999999994</v>
      </c>
    </row>
    <row r="18" spans="1:14" x14ac:dyDescent="0.35">
      <c r="A18" s="4">
        <v>1115</v>
      </c>
      <c r="B18" s="5">
        <v>45689</v>
      </c>
      <c r="C18" s="6" t="s">
        <v>43</v>
      </c>
      <c r="D18" s="6" t="s">
        <v>15</v>
      </c>
      <c r="E18" s="6" t="s">
        <v>56</v>
      </c>
      <c r="F18" s="6" t="s">
        <v>17</v>
      </c>
      <c r="G18" s="6" t="s">
        <v>46</v>
      </c>
      <c r="H18" s="4">
        <v>4</v>
      </c>
      <c r="I18" s="4">
        <v>871.29</v>
      </c>
      <c r="J18" s="4">
        <v>0</v>
      </c>
      <c r="K18" s="7">
        <v>3485.16</v>
      </c>
      <c r="L18" s="6" t="s">
        <v>35</v>
      </c>
      <c r="M18" s="6" t="s">
        <v>20</v>
      </c>
      <c r="N18" s="7">
        <f>Table13[[#This Row],[Quantity]]*Table13[[#This Row],[UnitPrice]]*(1-Table13[[#This Row],[Discount]])</f>
        <v>3485.16</v>
      </c>
    </row>
    <row r="19" spans="1:14" hidden="1" x14ac:dyDescent="0.35">
      <c r="A19" s="8">
        <v>1220</v>
      </c>
      <c r="B19" s="2">
        <v>45691</v>
      </c>
      <c r="C19" t="s">
        <v>14</v>
      </c>
      <c r="D19" t="s">
        <v>54</v>
      </c>
      <c r="E19" t="s">
        <v>57</v>
      </c>
      <c r="F19" t="s">
        <v>17</v>
      </c>
      <c r="G19" t="s">
        <v>46</v>
      </c>
      <c r="H19" s="8">
        <v>3</v>
      </c>
      <c r="I19" s="8">
        <v>551.41</v>
      </c>
      <c r="J19" s="8">
        <v>0.1</v>
      </c>
      <c r="K19" s="3">
        <v>1488.81</v>
      </c>
      <c r="L19" t="s">
        <v>19</v>
      </c>
      <c r="M19" t="s">
        <v>36</v>
      </c>
      <c r="N19" s="3">
        <f>Table13[[#This Row],[Quantity]]*Table13[[#This Row],[UnitPrice]]*(1-Table13[[#This Row],[Discount]])</f>
        <v>1488.807</v>
      </c>
    </row>
    <row r="20" spans="1:14" hidden="1" x14ac:dyDescent="0.35">
      <c r="A20" s="8">
        <v>1059</v>
      </c>
      <c r="B20" s="2">
        <v>45694</v>
      </c>
      <c r="C20" t="s">
        <v>14</v>
      </c>
      <c r="D20" t="s">
        <v>15</v>
      </c>
      <c r="E20" t="s">
        <v>58</v>
      </c>
      <c r="F20" t="s">
        <v>17</v>
      </c>
      <c r="G20" t="s">
        <v>18</v>
      </c>
      <c r="H20" s="8">
        <v>10</v>
      </c>
      <c r="I20" s="8">
        <v>951.95</v>
      </c>
      <c r="J20" s="8">
        <v>0</v>
      </c>
      <c r="K20" s="3">
        <v>9519.5</v>
      </c>
      <c r="L20" t="s">
        <v>19</v>
      </c>
      <c r="M20" t="s">
        <v>20</v>
      </c>
      <c r="N20" s="3">
        <f>Table13[[#This Row],[Quantity]]*Table13[[#This Row],[UnitPrice]]*(1-Table13[[#This Row],[Discount]])</f>
        <v>9519.5</v>
      </c>
    </row>
    <row r="21" spans="1:14" hidden="1" x14ac:dyDescent="0.35">
      <c r="A21" s="8">
        <v>1018</v>
      </c>
      <c r="B21" s="2">
        <v>45698</v>
      </c>
      <c r="C21" t="s">
        <v>14</v>
      </c>
      <c r="D21" t="s">
        <v>22</v>
      </c>
      <c r="E21" t="s">
        <v>59</v>
      </c>
      <c r="F21" t="s">
        <v>33</v>
      </c>
      <c r="G21" t="s">
        <v>53</v>
      </c>
      <c r="H21" s="8">
        <v>8</v>
      </c>
      <c r="I21" s="8">
        <v>823.28</v>
      </c>
      <c r="J21" s="8">
        <v>0.1</v>
      </c>
      <c r="K21" s="3">
        <v>5927.62</v>
      </c>
      <c r="L21" t="s">
        <v>35</v>
      </c>
      <c r="M21" t="s">
        <v>36</v>
      </c>
      <c r="N21" s="3">
        <f>Table13[[#This Row],[Quantity]]*Table13[[#This Row],[UnitPrice]]*(1-Table13[[#This Row],[Discount]])</f>
        <v>5927.616</v>
      </c>
    </row>
    <row r="22" spans="1:14" x14ac:dyDescent="0.35">
      <c r="A22" s="4">
        <v>1177</v>
      </c>
      <c r="B22" s="5">
        <v>45701</v>
      </c>
      <c r="C22" s="6" t="s">
        <v>43</v>
      </c>
      <c r="D22" s="6" t="s">
        <v>31</v>
      </c>
      <c r="E22" s="6" t="s">
        <v>59</v>
      </c>
      <c r="F22" s="6" t="s">
        <v>33</v>
      </c>
      <c r="G22" s="6" t="s">
        <v>53</v>
      </c>
      <c r="H22" s="4">
        <v>15</v>
      </c>
      <c r="I22" s="4">
        <v>486.05</v>
      </c>
      <c r="J22" s="4">
        <v>0.05</v>
      </c>
      <c r="K22" s="7">
        <v>6926.21</v>
      </c>
      <c r="L22" s="6" t="s">
        <v>39</v>
      </c>
      <c r="M22" s="6" t="s">
        <v>36</v>
      </c>
      <c r="N22" s="7">
        <f>Table13[[#This Row],[Quantity]]*Table13[[#This Row],[UnitPrice]]*(1-Table13[[#This Row],[Discount]])</f>
        <v>6926.2124999999996</v>
      </c>
    </row>
    <row r="23" spans="1:14" hidden="1" x14ac:dyDescent="0.35">
      <c r="A23" s="8">
        <v>1061</v>
      </c>
      <c r="B23" s="2">
        <v>45703</v>
      </c>
      <c r="C23" t="s">
        <v>14</v>
      </c>
      <c r="D23" t="s">
        <v>15</v>
      </c>
      <c r="E23" t="s">
        <v>60</v>
      </c>
      <c r="F23" t="s">
        <v>33</v>
      </c>
      <c r="G23" t="s">
        <v>61</v>
      </c>
      <c r="H23" s="8">
        <v>5</v>
      </c>
      <c r="I23" s="8">
        <v>769.03</v>
      </c>
      <c r="J23" s="8">
        <v>0.1</v>
      </c>
      <c r="K23" s="3">
        <v>3460.63</v>
      </c>
      <c r="L23" t="s">
        <v>35</v>
      </c>
      <c r="M23" t="s">
        <v>20</v>
      </c>
      <c r="N23" s="3">
        <f>Table13[[#This Row],[Quantity]]*Table13[[#This Row],[UnitPrice]]*(1-Table13[[#This Row],[Discount]])</f>
        <v>3460.6349999999998</v>
      </c>
    </row>
    <row r="24" spans="1:14" hidden="1" x14ac:dyDescent="0.35">
      <c r="A24" s="8">
        <v>1170</v>
      </c>
      <c r="B24" s="2">
        <v>45703</v>
      </c>
      <c r="C24" t="s">
        <v>21</v>
      </c>
      <c r="D24" t="s">
        <v>54</v>
      </c>
      <c r="E24" t="s">
        <v>62</v>
      </c>
      <c r="F24" t="s">
        <v>24</v>
      </c>
      <c r="G24" t="s">
        <v>63</v>
      </c>
      <c r="H24" s="8">
        <v>3</v>
      </c>
      <c r="I24" s="8">
        <v>767.25</v>
      </c>
      <c r="J24" s="8">
        <v>0.15</v>
      </c>
      <c r="K24" s="3">
        <v>1956.49</v>
      </c>
      <c r="L24" t="s">
        <v>39</v>
      </c>
      <c r="M24" t="s">
        <v>20</v>
      </c>
      <c r="N24" s="3">
        <f>Table13[[#This Row],[Quantity]]*Table13[[#This Row],[UnitPrice]]*(1-Table13[[#This Row],[Discount]])</f>
        <v>1956.4875</v>
      </c>
    </row>
    <row r="25" spans="1:14" hidden="1" x14ac:dyDescent="0.35">
      <c r="A25" s="8">
        <v>1299</v>
      </c>
      <c r="B25" s="2">
        <v>45707</v>
      </c>
      <c r="C25" t="s">
        <v>27</v>
      </c>
      <c r="D25" t="s">
        <v>54</v>
      </c>
      <c r="E25" t="s">
        <v>60</v>
      </c>
      <c r="F25" t="s">
        <v>17</v>
      </c>
      <c r="G25" t="s">
        <v>46</v>
      </c>
      <c r="H25" s="8">
        <v>1</v>
      </c>
      <c r="I25" s="8">
        <v>127.11</v>
      </c>
      <c r="J25" s="8">
        <v>0.1</v>
      </c>
      <c r="K25" s="3">
        <v>114.4</v>
      </c>
      <c r="L25" t="s">
        <v>19</v>
      </c>
      <c r="M25" t="s">
        <v>26</v>
      </c>
      <c r="N25" s="3">
        <f>Table13[[#This Row],[Quantity]]*Table13[[#This Row],[UnitPrice]]*(1-Table13[[#This Row],[Discount]])</f>
        <v>114.399</v>
      </c>
    </row>
    <row r="26" spans="1:14" hidden="1" x14ac:dyDescent="0.35">
      <c r="A26" s="8">
        <v>1060</v>
      </c>
      <c r="B26" s="2">
        <v>45711</v>
      </c>
      <c r="C26" t="s">
        <v>21</v>
      </c>
      <c r="D26" t="s">
        <v>31</v>
      </c>
      <c r="E26" t="s">
        <v>64</v>
      </c>
      <c r="F26" t="s">
        <v>33</v>
      </c>
      <c r="G26" t="s">
        <v>34</v>
      </c>
      <c r="H26" s="8">
        <v>14</v>
      </c>
      <c r="I26" s="8">
        <v>763.63</v>
      </c>
      <c r="J26" s="8">
        <v>0</v>
      </c>
      <c r="K26" s="3">
        <v>10690.82</v>
      </c>
      <c r="L26" t="s">
        <v>35</v>
      </c>
      <c r="M26" t="s">
        <v>20</v>
      </c>
      <c r="N26" s="3">
        <f>Table13[[#This Row],[Quantity]]*Table13[[#This Row],[UnitPrice]]*(1-Table13[[#This Row],[Discount]])</f>
        <v>10690.82</v>
      </c>
    </row>
    <row r="27" spans="1:14" hidden="1" x14ac:dyDescent="0.35">
      <c r="A27" s="8">
        <v>1164</v>
      </c>
      <c r="B27" s="2">
        <v>45711</v>
      </c>
      <c r="C27" t="s">
        <v>21</v>
      </c>
      <c r="D27" t="s">
        <v>28</v>
      </c>
      <c r="E27" t="s">
        <v>65</v>
      </c>
      <c r="F27" t="s">
        <v>33</v>
      </c>
      <c r="G27" t="s">
        <v>34</v>
      </c>
      <c r="H27" s="8">
        <v>9</v>
      </c>
      <c r="I27" s="8">
        <v>724.93</v>
      </c>
      <c r="J27" s="8">
        <v>0.1</v>
      </c>
      <c r="K27" s="3">
        <v>5871.93</v>
      </c>
      <c r="L27" t="s">
        <v>19</v>
      </c>
      <c r="M27" t="s">
        <v>20</v>
      </c>
      <c r="N27" s="3">
        <f>Table13[[#This Row],[Quantity]]*Table13[[#This Row],[UnitPrice]]*(1-Table13[[#This Row],[Discount]])</f>
        <v>5871.933</v>
      </c>
    </row>
    <row r="28" spans="1:14" hidden="1" x14ac:dyDescent="0.35">
      <c r="A28" s="8">
        <v>1286</v>
      </c>
      <c r="B28" s="2">
        <v>45711</v>
      </c>
      <c r="C28" t="s">
        <v>14</v>
      </c>
      <c r="D28" t="s">
        <v>54</v>
      </c>
      <c r="E28" t="s">
        <v>66</v>
      </c>
      <c r="F28" t="s">
        <v>17</v>
      </c>
      <c r="G28" t="s">
        <v>18</v>
      </c>
      <c r="H28" s="8">
        <v>7</v>
      </c>
      <c r="I28" s="8">
        <v>770.1</v>
      </c>
      <c r="J28" s="8">
        <v>0.15</v>
      </c>
      <c r="K28" s="3">
        <v>4582.09</v>
      </c>
      <c r="L28" t="s">
        <v>35</v>
      </c>
      <c r="M28" t="s">
        <v>26</v>
      </c>
      <c r="N28" s="3">
        <f>Table13[[#This Row],[Quantity]]*Table13[[#This Row],[UnitPrice]]*(1-Table13[[#This Row],[Discount]])</f>
        <v>4582.0949999999993</v>
      </c>
    </row>
    <row r="29" spans="1:14" x14ac:dyDescent="0.35">
      <c r="A29" s="4">
        <v>1017</v>
      </c>
      <c r="B29" s="5">
        <v>45712</v>
      </c>
      <c r="C29" s="6" t="s">
        <v>43</v>
      </c>
      <c r="D29" s="6" t="s">
        <v>54</v>
      </c>
      <c r="E29" s="6" t="s">
        <v>67</v>
      </c>
      <c r="F29" s="6" t="s">
        <v>33</v>
      </c>
      <c r="G29" s="6" t="s">
        <v>34</v>
      </c>
      <c r="H29" s="4">
        <v>4</v>
      </c>
      <c r="I29" s="4">
        <v>432.55</v>
      </c>
      <c r="J29" s="4">
        <v>0</v>
      </c>
      <c r="K29" s="7">
        <v>1730.2</v>
      </c>
      <c r="L29" s="6" t="s">
        <v>19</v>
      </c>
      <c r="M29" s="6" t="s">
        <v>36</v>
      </c>
      <c r="N29" s="7">
        <f>Table13[[#This Row],[Quantity]]*Table13[[#This Row],[UnitPrice]]*(1-Table13[[#This Row],[Discount]])</f>
        <v>1730.2</v>
      </c>
    </row>
    <row r="30" spans="1:14" x14ac:dyDescent="0.35">
      <c r="A30" s="4">
        <v>1113</v>
      </c>
      <c r="B30" s="5">
        <v>45713</v>
      </c>
      <c r="C30" s="6" t="s">
        <v>43</v>
      </c>
      <c r="D30" s="6" t="s">
        <v>47</v>
      </c>
      <c r="E30" s="6" t="s">
        <v>57</v>
      </c>
      <c r="F30" s="6" t="s">
        <v>17</v>
      </c>
      <c r="G30" s="6" t="s">
        <v>18</v>
      </c>
      <c r="H30" s="4">
        <v>15</v>
      </c>
      <c r="I30" s="4">
        <v>213.05</v>
      </c>
      <c r="J30" s="4">
        <v>0.1</v>
      </c>
      <c r="K30" s="7">
        <v>2876.18</v>
      </c>
      <c r="L30" s="6" t="s">
        <v>39</v>
      </c>
      <c r="M30" s="6" t="s">
        <v>36</v>
      </c>
      <c r="N30" s="7">
        <f>Table13[[#This Row],[Quantity]]*Table13[[#This Row],[UnitPrice]]*(1-Table13[[#This Row],[Discount]])</f>
        <v>2876.1750000000002</v>
      </c>
    </row>
    <row r="31" spans="1:14" hidden="1" x14ac:dyDescent="0.35">
      <c r="A31" s="8">
        <v>1154</v>
      </c>
      <c r="B31" s="2">
        <v>45714</v>
      </c>
      <c r="C31" t="s">
        <v>14</v>
      </c>
      <c r="D31" t="s">
        <v>28</v>
      </c>
      <c r="E31" t="s">
        <v>68</v>
      </c>
      <c r="F31" t="s">
        <v>33</v>
      </c>
      <c r="G31" t="s">
        <v>53</v>
      </c>
      <c r="H31" s="8">
        <v>6</v>
      </c>
      <c r="I31" s="8">
        <v>723.46</v>
      </c>
      <c r="J31" s="8">
        <v>0.1</v>
      </c>
      <c r="K31" s="3">
        <v>3906.68</v>
      </c>
      <c r="L31" t="s">
        <v>35</v>
      </c>
      <c r="M31" t="s">
        <v>26</v>
      </c>
      <c r="N31" s="3">
        <f>Table13[[#This Row],[Quantity]]*Table13[[#This Row],[UnitPrice]]*(1-Table13[[#This Row],[Discount]])</f>
        <v>3906.6840000000002</v>
      </c>
    </row>
    <row r="32" spans="1:14" hidden="1" x14ac:dyDescent="0.35">
      <c r="A32" s="8">
        <v>1272</v>
      </c>
      <c r="B32" s="2">
        <v>45715</v>
      </c>
      <c r="C32" t="s">
        <v>14</v>
      </c>
      <c r="D32" t="s">
        <v>28</v>
      </c>
      <c r="E32" t="s">
        <v>69</v>
      </c>
      <c r="F32" t="s">
        <v>17</v>
      </c>
      <c r="G32" t="s">
        <v>18</v>
      </c>
      <c r="H32" s="8">
        <v>2</v>
      </c>
      <c r="I32" s="8">
        <v>711.63</v>
      </c>
      <c r="J32" s="8">
        <v>0.1</v>
      </c>
      <c r="K32" s="3">
        <v>1280.93</v>
      </c>
      <c r="L32" t="s">
        <v>35</v>
      </c>
      <c r="M32" t="s">
        <v>36</v>
      </c>
      <c r="N32" s="3">
        <f>Table13[[#This Row],[Quantity]]*Table13[[#This Row],[UnitPrice]]*(1-Table13[[#This Row],[Discount]])</f>
        <v>1280.934</v>
      </c>
    </row>
    <row r="33" spans="1:14" hidden="1" x14ac:dyDescent="0.35">
      <c r="A33" s="8">
        <v>1116</v>
      </c>
      <c r="B33" s="2">
        <v>45718</v>
      </c>
      <c r="C33" t="s">
        <v>27</v>
      </c>
      <c r="D33" t="s">
        <v>47</v>
      </c>
      <c r="E33" t="s">
        <v>70</v>
      </c>
      <c r="F33" t="s">
        <v>33</v>
      </c>
      <c r="G33" t="s">
        <v>53</v>
      </c>
      <c r="H33" s="8">
        <v>12</v>
      </c>
      <c r="I33" s="8">
        <v>483.26</v>
      </c>
      <c r="J33" s="8">
        <v>0.15</v>
      </c>
      <c r="K33" s="3">
        <v>4929.25</v>
      </c>
      <c r="L33" t="s">
        <v>39</v>
      </c>
      <c r="M33" t="s">
        <v>36</v>
      </c>
      <c r="N33" s="3">
        <f>Table13[[#This Row],[Quantity]]*Table13[[#This Row],[UnitPrice]]*(1-Table13[[#This Row],[Discount]])</f>
        <v>4929.2519999999995</v>
      </c>
    </row>
    <row r="34" spans="1:14" hidden="1" x14ac:dyDescent="0.35">
      <c r="A34" s="8">
        <v>1024</v>
      </c>
      <c r="B34" s="2">
        <v>45720</v>
      </c>
      <c r="C34" t="s">
        <v>27</v>
      </c>
      <c r="D34" t="s">
        <v>31</v>
      </c>
      <c r="E34" t="s">
        <v>71</v>
      </c>
      <c r="F34" t="s">
        <v>33</v>
      </c>
      <c r="G34" t="s">
        <v>53</v>
      </c>
      <c r="H34" s="8">
        <v>15</v>
      </c>
      <c r="I34" s="8">
        <v>310.61</v>
      </c>
      <c r="J34" s="8">
        <v>0</v>
      </c>
      <c r="K34" s="3">
        <v>4659.1499999999996</v>
      </c>
      <c r="L34" t="s">
        <v>39</v>
      </c>
      <c r="M34" t="s">
        <v>36</v>
      </c>
      <c r="N34" s="3">
        <f>Table13[[#This Row],[Quantity]]*Table13[[#This Row],[UnitPrice]]*(1-Table13[[#This Row],[Discount]])</f>
        <v>4659.1500000000005</v>
      </c>
    </row>
    <row r="35" spans="1:14" hidden="1" x14ac:dyDescent="0.35">
      <c r="A35" s="8">
        <v>1300</v>
      </c>
      <c r="B35" s="2">
        <v>45720</v>
      </c>
      <c r="C35" t="s">
        <v>21</v>
      </c>
      <c r="D35" t="s">
        <v>54</v>
      </c>
      <c r="E35" t="s">
        <v>72</v>
      </c>
      <c r="F35" t="s">
        <v>24</v>
      </c>
      <c r="G35" t="s">
        <v>25</v>
      </c>
      <c r="H35" s="8">
        <v>8</v>
      </c>
      <c r="I35" s="8">
        <v>435.43</v>
      </c>
      <c r="J35" s="8">
        <v>0.15</v>
      </c>
      <c r="K35" s="3">
        <v>2960.92</v>
      </c>
      <c r="L35" t="s">
        <v>19</v>
      </c>
      <c r="M35" t="s">
        <v>36</v>
      </c>
      <c r="N35" s="3">
        <f>Table13[[#This Row],[Quantity]]*Table13[[#This Row],[UnitPrice]]*(1-Table13[[#This Row],[Discount]])</f>
        <v>2960.924</v>
      </c>
    </row>
    <row r="36" spans="1:14" x14ac:dyDescent="0.35">
      <c r="A36" s="4">
        <v>1292</v>
      </c>
      <c r="B36" s="5">
        <v>45722</v>
      </c>
      <c r="C36" s="6" t="s">
        <v>43</v>
      </c>
      <c r="D36" s="6" t="s">
        <v>54</v>
      </c>
      <c r="E36" s="6" t="s">
        <v>73</v>
      </c>
      <c r="F36" s="6" t="s">
        <v>33</v>
      </c>
      <c r="G36" s="6" t="s">
        <v>61</v>
      </c>
      <c r="H36" s="4">
        <v>13</v>
      </c>
      <c r="I36" s="4">
        <v>1047.26</v>
      </c>
      <c r="J36" s="4">
        <v>0.05</v>
      </c>
      <c r="K36" s="7">
        <v>12933.66</v>
      </c>
      <c r="L36" s="6" t="s">
        <v>39</v>
      </c>
      <c r="M36" s="6" t="s">
        <v>36</v>
      </c>
      <c r="N36" s="7">
        <f>Table13[[#This Row],[Quantity]]*Table13[[#This Row],[UnitPrice]]*(1-Table13[[#This Row],[Discount]])</f>
        <v>12933.660999999998</v>
      </c>
    </row>
    <row r="37" spans="1:14" x14ac:dyDescent="0.35">
      <c r="A37" s="4">
        <v>1020</v>
      </c>
      <c r="B37" s="5">
        <v>45723</v>
      </c>
      <c r="C37" s="6" t="s">
        <v>43</v>
      </c>
      <c r="D37" s="6" t="s">
        <v>22</v>
      </c>
      <c r="E37" s="6" t="s">
        <v>60</v>
      </c>
      <c r="F37" s="6" t="s">
        <v>33</v>
      </c>
      <c r="G37" s="6" t="s">
        <v>53</v>
      </c>
      <c r="H37" s="4">
        <v>3</v>
      </c>
      <c r="I37" s="4">
        <v>128.86000000000001</v>
      </c>
      <c r="J37" s="4">
        <v>0.1</v>
      </c>
      <c r="K37" s="7">
        <v>347.92</v>
      </c>
      <c r="L37" s="6" t="s">
        <v>19</v>
      </c>
      <c r="M37" s="6" t="s">
        <v>26</v>
      </c>
      <c r="N37" s="7">
        <f>Table13[[#This Row],[Quantity]]*Table13[[#This Row],[UnitPrice]]*(1-Table13[[#This Row],[Discount]])</f>
        <v>347.92200000000003</v>
      </c>
    </row>
    <row r="38" spans="1:14" hidden="1" x14ac:dyDescent="0.35">
      <c r="A38" s="8">
        <v>1188</v>
      </c>
      <c r="B38" s="2">
        <v>45729</v>
      </c>
      <c r="C38" t="s">
        <v>27</v>
      </c>
      <c r="D38" t="s">
        <v>47</v>
      </c>
      <c r="E38" t="s">
        <v>37</v>
      </c>
      <c r="F38" t="s">
        <v>17</v>
      </c>
      <c r="G38" t="s">
        <v>18</v>
      </c>
      <c r="H38" s="8">
        <v>7</v>
      </c>
      <c r="I38" s="8">
        <v>737.42</v>
      </c>
      <c r="J38" s="8">
        <v>0.1</v>
      </c>
      <c r="K38" s="3">
        <v>4645.75</v>
      </c>
      <c r="L38" t="s">
        <v>19</v>
      </c>
      <c r="M38" t="s">
        <v>36</v>
      </c>
      <c r="N38" s="3">
        <f>Table13[[#This Row],[Quantity]]*Table13[[#This Row],[UnitPrice]]*(1-Table13[[#This Row],[Discount]])</f>
        <v>4645.7460000000001</v>
      </c>
    </row>
    <row r="39" spans="1:14" x14ac:dyDescent="0.35">
      <c r="A39" s="4">
        <v>1243</v>
      </c>
      <c r="B39" s="5">
        <v>45731</v>
      </c>
      <c r="C39" s="6" t="s">
        <v>43</v>
      </c>
      <c r="D39" s="6" t="s">
        <v>15</v>
      </c>
      <c r="E39" s="6" t="s">
        <v>75</v>
      </c>
      <c r="F39" s="6" t="s">
        <v>17</v>
      </c>
      <c r="G39" s="6" t="s">
        <v>18</v>
      </c>
      <c r="H39" s="4">
        <v>11</v>
      </c>
      <c r="I39" s="4">
        <v>462.44</v>
      </c>
      <c r="J39" s="4">
        <v>0</v>
      </c>
      <c r="K39" s="7">
        <v>5086.84</v>
      </c>
      <c r="L39" s="6" t="s">
        <v>39</v>
      </c>
      <c r="M39" s="6" t="s">
        <v>36</v>
      </c>
      <c r="N39" s="7">
        <f>Table13[[#This Row],[Quantity]]*Table13[[#This Row],[UnitPrice]]*(1-Table13[[#This Row],[Discount]])</f>
        <v>5086.84</v>
      </c>
    </row>
    <row r="40" spans="1:14" hidden="1" x14ac:dyDescent="0.35">
      <c r="A40" s="8">
        <v>1139</v>
      </c>
      <c r="B40" s="2">
        <v>45731</v>
      </c>
      <c r="C40" t="s">
        <v>14</v>
      </c>
      <c r="D40" t="s">
        <v>31</v>
      </c>
      <c r="E40" t="s">
        <v>74</v>
      </c>
      <c r="F40" t="s">
        <v>24</v>
      </c>
      <c r="G40" t="s">
        <v>38</v>
      </c>
      <c r="H40" s="8">
        <v>13</v>
      </c>
      <c r="I40" s="8">
        <v>96.33</v>
      </c>
      <c r="J40" s="8">
        <v>0.15</v>
      </c>
      <c r="K40" s="3">
        <v>1064.45</v>
      </c>
      <c r="L40" t="s">
        <v>35</v>
      </c>
      <c r="M40" t="s">
        <v>26</v>
      </c>
      <c r="N40" s="3">
        <f>Table13[[#This Row],[Quantity]]*Table13[[#This Row],[UnitPrice]]*(1-Table13[[#This Row],[Discount]])</f>
        <v>1064.4465</v>
      </c>
    </row>
    <row r="41" spans="1:14" hidden="1" x14ac:dyDescent="0.35">
      <c r="A41" s="8">
        <v>1095</v>
      </c>
      <c r="B41" s="2">
        <v>45738</v>
      </c>
      <c r="C41" t="s">
        <v>27</v>
      </c>
      <c r="D41" t="s">
        <v>15</v>
      </c>
      <c r="E41" t="s">
        <v>76</v>
      </c>
      <c r="F41" t="s">
        <v>17</v>
      </c>
      <c r="G41" t="s">
        <v>18</v>
      </c>
      <c r="H41" s="8">
        <v>10</v>
      </c>
      <c r="I41" s="8">
        <v>997.84</v>
      </c>
      <c r="J41" s="8">
        <v>0</v>
      </c>
      <c r="K41" s="3">
        <v>9978.4</v>
      </c>
      <c r="L41" t="s">
        <v>35</v>
      </c>
      <c r="M41" t="s">
        <v>20</v>
      </c>
      <c r="N41" s="3">
        <f>Table13[[#This Row],[Quantity]]*Table13[[#This Row],[UnitPrice]]*(1-Table13[[#This Row],[Discount]])</f>
        <v>9978.4</v>
      </c>
    </row>
    <row r="42" spans="1:14" x14ac:dyDescent="0.35">
      <c r="A42" s="4">
        <v>1100</v>
      </c>
      <c r="B42" s="5">
        <v>45739</v>
      </c>
      <c r="C42" s="6" t="s">
        <v>43</v>
      </c>
      <c r="D42" s="6" t="s">
        <v>15</v>
      </c>
      <c r="E42" s="6" t="s">
        <v>78</v>
      </c>
      <c r="F42" s="6" t="s">
        <v>17</v>
      </c>
      <c r="G42" s="6" t="s">
        <v>30</v>
      </c>
      <c r="H42" s="4">
        <v>12</v>
      </c>
      <c r="I42" s="4">
        <v>275.45</v>
      </c>
      <c r="J42" s="4">
        <v>0</v>
      </c>
      <c r="K42" s="7">
        <v>3305.4</v>
      </c>
      <c r="L42" s="6" t="s">
        <v>35</v>
      </c>
      <c r="M42" s="6" t="s">
        <v>26</v>
      </c>
      <c r="N42" s="7">
        <f>Table13[[#This Row],[Quantity]]*Table13[[#This Row],[UnitPrice]]*(1-Table13[[#This Row],[Discount]])</f>
        <v>3305.3999999999996</v>
      </c>
    </row>
    <row r="43" spans="1:14" hidden="1" x14ac:dyDescent="0.35">
      <c r="A43" s="8">
        <v>1131</v>
      </c>
      <c r="B43" s="2">
        <v>45739</v>
      </c>
      <c r="C43" t="s">
        <v>27</v>
      </c>
      <c r="D43" t="s">
        <v>22</v>
      </c>
      <c r="E43" t="s">
        <v>29</v>
      </c>
      <c r="F43" t="s">
        <v>24</v>
      </c>
      <c r="G43" t="s">
        <v>38</v>
      </c>
      <c r="H43" s="8">
        <v>3</v>
      </c>
      <c r="I43" s="8">
        <v>976.39</v>
      </c>
      <c r="J43" s="8">
        <v>0.05</v>
      </c>
      <c r="K43" s="3">
        <v>2782.71</v>
      </c>
      <c r="L43" t="s">
        <v>35</v>
      </c>
      <c r="M43" t="s">
        <v>36</v>
      </c>
      <c r="N43" s="3">
        <f>Table13[[#This Row],[Quantity]]*Table13[[#This Row],[UnitPrice]]*(1-Table13[[#This Row],[Discount]])</f>
        <v>2782.7114999999999</v>
      </c>
    </row>
    <row r="44" spans="1:14" hidden="1" x14ac:dyDescent="0.35">
      <c r="A44" s="8">
        <v>1046</v>
      </c>
      <c r="B44" s="2">
        <v>45739</v>
      </c>
      <c r="C44" t="s">
        <v>14</v>
      </c>
      <c r="D44" t="s">
        <v>54</v>
      </c>
      <c r="E44" t="s">
        <v>77</v>
      </c>
      <c r="F44" t="s">
        <v>17</v>
      </c>
      <c r="G44" t="s">
        <v>46</v>
      </c>
      <c r="H44" s="8">
        <v>15</v>
      </c>
      <c r="I44" s="8">
        <v>24.1</v>
      </c>
      <c r="J44" s="8">
        <v>0.15</v>
      </c>
      <c r="K44" s="3">
        <v>307.27</v>
      </c>
      <c r="L44" t="s">
        <v>19</v>
      </c>
      <c r="M44" t="s">
        <v>20</v>
      </c>
      <c r="N44" s="3">
        <f>Table13[[#This Row],[Quantity]]*Table13[[#This Row],[UnitPrice]]*(1-Table13[[#This Row],[Discount]])</f>
        <v>307.27499999999998</v>
      </c>
    </row>
    <row r="45" spans="1:14" hidden="1" x14ac:dyDescent="0.35">
      <c r="A45" s="8">
        <v>1050</v>
      </c>
      <c r="B45" s="2">
        <v>45742</v>
      </c>
      <c r="C45" t="s">
        <v>14</v>
      </c>
      <c r="D45" t="s">
        <v>28</v>
      </c>
      <c r="E45" t="s">
        <v>79</v>
      </c>
      <c r="F45" t="s">
        <v>24</v>
      </c>
      <c r="G45" t="s">
        <v>38</v>
      </c>
      <c r="H45" s="8">
        <v>15</v>
      </c>
      <c r="I45" s="8">
        <v>527.89</v>
      </c>
      <c r="J45" s="8">
        <v>0.1</v>
      </c>
      <c r="K45" s="3">
        <v>7126.51</v>
      </c>
      <c r="L45" t="s">
        <v>39</v>
      </c>
      <c r="M45" t="s">
        <v>26</v>
      </c>
      <c r="N45" s="3">
        <f>Table13[[#This Row],[Quantity]]*Table13[[#This Row],[UnitPrice]]*(1-Table13[[#This Row],[Discount]])</f>
        <v>7126.5149999999994</v>
      </c>
    </row>
    <row r="46" spans="1:14" hidden="1" x14ac:dyDescent="0.35">
      <c r="A46" s="8">
        <v>1288</v>
      </c>
      <c r="B46" s="2">
        <v>45742</v>
      </c>
      <c r="C46" t="s">
        <v>21</v>
      </c>
      <c r="D46" t="s">
        <v>31</v>
      </c>
      <c r="E46" t="s">
        <v>80</v>
      </c>
      <c r="F46" t="s">
        <v>17</v>
      </c>
      <c r="G46" t="s">
        <v>18</v>
      </c>
      <c r="H46" s="8">
        <v>14</v>
      </c>
      <c r="I46" s="8">
        <v>40.82</v>
      </c>
      <c r="J46" s="8">
        <v>0.05</v>
      </c>
      <c r="K46" s="3">
        <v>542.91</v>
      </c>
      <c r="L46" t="s">
        <v>39</v>
      </c>
      <c r="M46" t="s">
        <v>36</v>
      </c>
      <c r="N46" s="3">
        <f>Table13[[#This Row],[Quantity]]*Table13[[#This Row],[UnitPrice]]*(1-Table13[[#This Row],[Discount]])</f>
        <v>542.90599999999995</v>
      </c>
    </row>
    <row r="47" spans="1:14" x14ac:dyDescent="0.35">
      <c r="A47" s="4">
        <v>1102</v>
      </c>
      <c r="B47" s="5">
        <v>45745</v>
      </c>
      <c r="C47" s="6" t="s">
        <v>43</v>
      </c>
      <c r="D47" s="6" t="s">
        <v>28</v>
      </c>
      <c r="E47" s="6" t="s">
        <v>49</v>
      </c>
      <c r="F47" s="6" t="s">
        <v>33</v>
      </c>
      <c r="G47" s="6" t="s">
        <v>34</v>
      </c>
      <c r="H47" s="4">
        <v>5</v>
      </c>
      <c r="I47" s="4">
        <v>129.84</v>
      </c>
      <c r="J47" s="4">
        <v>0.05</v>
      </c>
      <c r="K47" s="7">
        <v>616.74</v>
      </c>
      <c r="L47" s="6" t="s">
        <v>39</v>
      </c>
      <c r="M47" s="6" t="s">
        <v>26</v>
      </c>
      <c r="N47" s="7">
        <f>Table13[[#This Row],[Quantity]]*Table13[[#This Row],[UnitPrice]]*(1-Table13[[#This Row],[Discount]])</f>
        <v>616.74</v>
      </c>
    </row>
    <row r="48" spans="1:14" hidden="1" x14ac:dyDescent="0.35">
      <c r="A48" s="8">
        <v>1096</v>
      </c>
      <c r="B48" s="2">
        <v>45747</v>
      </c>
      <c r="C48" t="s">
        <v>21</v>
      </c>
      <c r="D48" t="s">
        <v>15</v>
      </c>
      <c r="E48" t="s">
        <v>77</v>
      </c>
      <c r="F48" t="s">
        <v>33</v>
      </c>
      <c r="G48" t="s">
        <v>53</v>
      </c>
      <c r="H48" s="8">
        <v>9</v>
      </c>
      <c r="I48" s="8">
        <v>60.43</v>
      </c>
      <c r="J48" s="8">
        <v>0.15</v>
      </c>
      <c r="K48" s="3">
        <v>462.29</v>
      </c>
      <c r="L48" t="s">
        <v>35</v>
      </c>
      <c r="M48" t="s">
        <v>26</v>
      </c>
      <c r="N48" s="3">
        <f>Table13[[#This Row],[Quantity]]*Table13[[#This Row],[UnitPrice]]*(1-Table13[[#This Row],[Discount]])</f>
        <v>462.28949999999998</v>
      </c>
    </row>
    <row r="49" spans="1:14" x14ac:dyDescent="0.35">
      <c r="A49" s="4">
        <v>1171</v>
      </c>
      <c r="B49" s="5">
        <v>45748</v>
      </c>
      <c r="C49" s="6" t="s">
        <v>43</v>
      </c>
      <c r="D49" s="6" t="s">
        <v>31</v>
      </c>
      <c r="E49" s="6" t="s">
        <v>45</v>
      </c>
      <c r="F49" s="6" t="s">
        <v>33</v>
      </c>
      <c r="G49" s="6" t="s">
        <v>53</v>
      </c>
      <c r="H49" s="4">
        <v>8</v>
      </c>
      <c r="I49" s="4">
        <v>1022.32</v>
      </c>
      <c r="J49" s="4">
        <v>0</v>
      </c>
      <c r="K49" s="7">
        <v>8178.56</v>
      </c>
      <c r="L49" s="6" t="s">
        <v>35</v>
      </c>
      <c r="M49" s="6" t="s">
        <v>26</v>
      </c>
      <c r="N49" s="7">
        <f>Table13[[#This Row],[Quantity]]*Table13[[#This Row],[UnitPrice]]*(1-Table13[[#This Row],[Discount]])</f>
        <v>8178.56</v>
      </c>
    </row>
    <row r="50" spans="1:14" hidden="1" x14ac:dyDescent="0.35">
      <c r="A50" s="8">
        <v>1255</v>
      </c>
      <c r="B50" s="2">
        <v>45749</v>
      </c>
      <c r="C50" t="s">
        <v>14</v>
      </c>
      <c r="D50" t="s">
        <v>31</v>
      </c>
      <c r="E50" t="s">
        <v>81</v>
      </c>
      <c r="F50" t="s">
        <v>17</v>
      </c>
      <c r="G50" t="s">
        <v>18</v>
      </c>
      <c r="H50" s="8">
        <v>6</v>
      </c>
      <c r="I50" s="8">
        <v>764.82</v>
      </c>
      <c r="J50" s="8">
        <v>0.05</v>
      </c>
      <c r="K50" s="3">
        <v>4359.47</v>
      </c>
      <c r="L50" t="s">
        <v>35</v>
      </c>
      <c r="M50" t="s">
        <v>36</v>
      </c>
      <c r="N50" s="3">
        <f>Table13[[#This Row],[Quantity]]*Table13[[#This Row],[UnitPrice]]*(1-Table13[[#This Row],[Discount]])</f>
        <v>4359.4740000000002</v>
      </c>
    </row>
    <row r="51" spans="1:14" hidden="1" x14ac:dyDescent="0.35">
      <c r="A51" s="8">
        <v>1284</v>
      </c>
      <c r="B51" s="2">
        <v>45750</v>
      </c>
      <c r="C51" t="s">
        <v>27</v>
      </c>
      <c r="D51" t="s">
        <v>31</v>
      </c>
      <c r="E51" t="s">
        <v>80</v>
      </c>
      <c r="F51" t="s">
        <v>17</v>
      </c>
      <c r="G51" t="s">
        <v>46</v>
      </c>
      <c r="H51" s="8">
        <v>8</v>
      </c>
      <c r="I51" s="8">
        <v>495.46</v>
      </c>
      <c r="J51" s="8">
        <v>0.1</v>
      </c>
      <c r="K51" s="3">
        <v>3567.31</v>
      </c>
      <c r="L51" t="s">
        <v>19</v>
      </c>
      <c r="M51" t="s">
        <v>26</v>
      </c>
      <c r="N51" s="3">
        <f>Table13[[#This Row],[Quantity]]*Table13[[#This Row],[UnitPrice]]*(1-Table13[[#This Row],[Discount]])</f>
        <v>3567.3119999999999</v>
      </c>
    </row>
    <row r="52" spans="1:14" hidden="1" x14ac:dyDescent="0.35">
      <c r="A52" s="8">
        <v>1052</v>
      </c>
      <c r="B52" s="2">
        <v>45751</v>
      </c>
      <c r="C52" t="s">
        <v>21</v>
      </c>
      <c r="D52" t="s">
        <v>31</v>
      </c>
      <c r="E52" t="s">
        <v>81</v>
      </c>
      <c r="F52" t="s">
        <v>33</v>
      </c>
      <c r="G52" t="s">
        <v>53</v>
      </c>
      <c r="H52" s="8">
        <v>9</v>
      </c>
      <c r="I52" s="8">
        <v>80.95</v>
      </c>
      <c r="J52" s="8">
        <v>0</v>
      </c>
      <c r="K52" s="3">
        <v>728.55</v>
      </c>
      <c r="L52" t="s">
        <v>35</v>
      </c>
      <c r="M52" t="s">
        <v>26</v>
      </c>
      <c r="N52" s="3">
        <f>Table13[[#This Row],[Quantity]]*Table13[[#This Row],[UnitPrice]]*(1-Table13[[#This Row],[Discount]])</f>
        <v>728.55000000000007</v>
      </c>
    </row>
    <row r="53" spans="1:14" hidden="1" x14ac:dyDescent="0.35">
      <c r="A53" s="8">
        <v>1161</v>
      </c>
      <c r="B53" s="2">
        <v>45753</v>
      </c>
      <c r="C53" t="s">
        <v>27</v>
      </c>
      <c r="D53" t="s">
        <v>47</v>
      </c>
      <c r="E53" t="s">
        <v>80</v>
      </c>
      <c r="F53" t="s">
        <v>24</v>
      </c>
      <c r="G53" t="s">
        <v>38</v>
      </c>
      <c r="H53" s="8">
        <v>6</v>
      </c>
      <c r="I53" s="8">
        <v>1198.32</v>
      </c>
      <c r="J53" s="8">
        <v>0.15</v>
      </c>
      <c r="K53" s="3">
        <v>6111.43</v>
      </c>
      <c r="L53" t="s">
        <v>39</v>
      </c>
      <c r="M53" t="s">
        <v>36</v>
      </c>
      <c r="N53" s="3">
        <f>Table13[[#This Row],[Quantity]]*Table13[[#This Row],[UnitPrice]]*(1-Table13[[#This Row],[Discount]])</f>
        <v>6111.4319999999998</v>
      </c>
    </row>
    <row r="54" spans="1:14" x14ac:dyDescent="0.35">
      <c r="A54" s="4">
        <v>1128</v>
      </c>
      <c r="B54" s="5">
        <v>45755</v>
      </c>
      <c r="C54" s="6" t="s">
        <v>43</v>
      </c>
      <c r="D54" s="6" t="s">
        <v>54</v>
      </c>
      <c r="E54" s="6" t="s">
        <v>60</v>
      </c>
      <c r="F54" s="6" t="s">
        <v>33</v>
      </c>
      <c r="G54" s="6" t="s">
        <v>61</v>
      </c>
      <c r="H54" s="4">
        <v>7</v>
      </c>
      <c r="I54" s="4">
        <v>1071.58</v>
      </c>
      <c r="J54" s="4">
        <v>0.05</v>
      </c>
      <c r="K54" s="7">
        <v>7126.01</v>
      </c>
      <c r="L54" s="6" t="s">
        <v>35</v>
      </c>
      <c r="M54" s="6" t="s">
        <v>36</v>
      </c>
      <c r="N54" s="7">
        <f>Table13[[#This Row],[Quantity]]*Table13[[#This Row],[UnitPrice]]*(1-Table13[[#This Row],[Discount]])</f>
        <v>7126.0069999999996</v>
      </c>
    </row>
    <row r="55" spans="1:14" hidden="1" x14ac:dyDescent="0.35">
      <c r="A55" s="8">
        <v>1153</v>
      </c>
      <c r="B55" s="2">
        <v>45756</v>
      </c>
      <c r="C55" t="s">
        <v>27</v>
      </c>
      <c r="D55" t="s">
        <v>28</v>
      </c>
      <c r="E55" t="s">
        <v>51</v>
      </c>
      <c r="F55" t="s">
        <v>24</v>
      </c>
      <c r="G55" t="s">
        <v>38</v>
      </c>
      <c r="H55" s="8">
        <v>10</v>
      </c>
      <c r="I55" s="8">
        <v>644.11</v>
      </c>
      <c r="J55" s="8">
        <v>0</v>
      </c>
      <c r="K55" s="3">
        <v>6441.1</v>
      </c>
      <c r="L55" t="s">
        <v>39</v>
      </c>
      <c r="M55" t="s">
        <v>20</v>
      </c>
      <c r="N55" s="3">
        <f>Table13[[#This Row],[Quantity]]*Table13[[#This Row],[UnitPrice]]*(1-Table13[[#This Row],[Discount]])</f>
        <v>6441.1</v>
      </c>
    </row>
    <row r="56" spans="1:14" hidden="1" x14ac:dyDescent="0.35">
      <c r="A56" s="8">
        <v>1080</v>
      </c>
      <c r="B56" s="2">
        <v>45757</v>
      </c>
      <c r="C56" t="s">
        <v>14</v>
      </c>
      <c r="D56" t="s">
        <v>54</v>
      </c>
      <c r="E56" t="s">
        <v>82</v>
      </c>
      <c r="F56" t="s">
        <v>33</v>
      </c>
      <c r="G56" t="s">
        <v>61</v>
      </c>
      <c r="H56" s="8">
        <v>15</v>
      </c>
      <c r="I56" s="8">
        <v>507.31</v>
      </c>
      <c r="J56" s="8">
        <v>0.1</v>
      </c>
      <c r="K56" s="3">
        <v>6848.68</v>
      </c>
      <c r="L56" t="s">
        <v>35</v>
      </c>
      <c r="M56" t="s">
        <v>26</v>
      </c>
      <c r="N56" s="3">
        <f>Table13[[#This Row],[Quantity]]*Table13[[#This Row],[UnitPrice]]*(1-Table13[[#This Row],[Discount]])</f>
        <v>6848.6849999999995</v>
      </c>
    </row>
    <row r="57" spans="1:14" x14ac:dyDescent="0.35">
      <c r="A57" s="4">
        <v>1107</v>
      </c>
      <c r="B57" s="5">
        <v>45757</v>
      </c>
      <c r="C57" s="6" t="s">
        <v>43</v>
      </c>
      <c r="D57" s="6" t="s">
        <v>47</v>
      </c>
      <c r="E57" s="6" t="s">
        <v>16</v>
      </c>
      <c r="F57" s="6" t="s">
        <v>33</v>
      </c>
      <c r="G57" s="6" t="s">
        <v>34</v>
      </c>
      <c r="H57" s="4">
        <v>8</v>
      </c>
      <c r="I57" s="4">
        <v>671.23</v>
      </c>
      <c r="J57" s="4">
        <v>0.1</v>
      </c>
      <c r="K57" s="7">
        <v>4832.8599999999997</v>
      </c>
      <c r="L57" s="6" t="s">
        <v>19</v>
      </c>
      <c r="M57" s="6" t="s">
        <v>36</v>
      </c>
      <c r="N57" s="7">
        <f>Table13[[#This Row],[Quantity]]*Table13[[#This Row],[UnitPrice]]*(1-Table13[[#This Row],[Discount]])</f>
        <v>4832.8560000000007</v>
      </c>
    </row>
    <row r="58" spans="1:14" x14ac:dyDescent="0.35">
      <c r="A58" s="4">
        <v>1101</v>
      </c>
      <c r="B58" s="5">
        <v>45759</v>
      </c>
      <c r="C58" s="6" t="s">
        <v>43</v>
      </c>
      <c r="D58" s="6" t="s">
        <v>31</v>
      </c>
      <c r="E58" s="6" t="s">
        <v>83</v>
      </c>
      <c r="F58" s="6" t="s">
        <v>17</v>
      </c>
      <c r="G58" s="6" t="s">
        <v>46</v>
      </c>
      <c r="H58" s="4">
        <v>14</v>
      </c>
      <c r="I58" s="4">
        <v>397.49</v>
      </c>
      <c r="J58" s="4">
        <v>0.1</v>
      </c>
      <c r="K58" s="7">
        <v>5008.37</v>
      </c>
      <c r="L58" s="6" t="s">
        <v>39</v>
      </c>
      <c r="M58" s="6" t="s">
        <v>26</v>
      </c>
      <c r="N58" s="7">
        <f>Table13[[#This Row],[Quantity]]*Table13[[#This Row],[UnitPrice]]*(1-Table13[[#This Row],[Discount]])</f>
        <v>5008.3740000000007</v>
      </c>
    </row>
    <row r="59" spans="1:14" hidden="1" x14ac:dyDescent="0.35">
      <c r="A59" s="8">
        <v>1033</v>
      </c>
      <c r="B59" s="2">
        <v>45763</v>
      </c>
      <c r="C59" t="s">
        <v>27</v>
      </c>
      <c r="D59" t="s">
        <v>54</v>
      </c>
      <c r="E59" t="s">
        <v>73</v>
      </c>
      <c r="F59" t="s">
        <v>17</v>
      </c>
      <c r="G59" t="s">
        <v>18</v>
      </c>
      <c r="H59" s="8">
        <v>5</v>
      </c>
      <c r="I59" s="8">
        <v>135.82</v>
      </c>
      <c r="J59" s="8">
        <v>0.05</v>
      </c>
      <c r="K59" s="3">
        <v>645.14</v>
      </c>
      <c r="L59" t="s">
        <v>39</v>
      </c>
      <c r="M59" t="s">
        <v>20</v>
      </c>
      <c r="N59" s="3">
        <f>Table13[[#This Row],[Quantity]]*Table13[[#This Row],[UnitPrice]]*(1-Table13[[#This Row],[Discount]])</f>
        <v>645.14499999999987</v>
      </c>
    </row>
    <row r="60" spans="1:14" hidden="1" x14ac:dyDescent="0.35">
      <c r="A60" s="8">
        <v>1216</v>
      </c>
      <c r="B60" s="2">
        <v>45764</v>
      </c>
      <c r="C60" t="s">
        <v>27</v>
      </c>
      <c r="D60" t="s">
        <v>31</v>
      </c>
      <c r="E60" t="s">
        <v>56</v>
      </c>
      <c r="F60" t="s">
        <v>33</v>
      </c>
      <c r="G60" t="s">
        <v>34</v>
      </c>
      <c r="H60" s="8">
        <v>14</v>
      </c>
      <c r="I60" s="8">
        <v>904.51</v>
      </c>
      <c r="J60" s="8">
        <v>0.15</v>
      </c>
      <c r="K60" s="3">
        <v>10763.67</v>
      </c>
      <c r="L60" t="s">
        <v>39</v>
      </c>
      <c r="M60" t="s">
        <v>20</v>
      </c>
      <c r="N60" s="3">
        <f>Table13[[#This Row],[Quantity]]*Table13[[#This Row],[UnitPrice]]*(1-Table13[[#This Row],[Discount]])</f>
        <v>10763.669</v>
      </c>
    </row>
    <row r="61" spans="1:14" hidden="1" x14ac:dyDescent="0.35">
      <c r="A61" s="8">
        <v>1063</v>
      </c>
      <c r="B61" s="2">
        <v>45764</v>
      </c>
      <c r="C61" t="s">
        <v>14</v>
      </c>
      <c r="D61" t="s">
        <v>47</v>
      </c>
      <c r="E61" t="s">
        <v>59</v>
      </c>
      <c r="F61" t="s">
        <v>24</v>
      </c>
      <c r="G61" t="s">
        <v>63</v>
      </c>
      <c r="H61" s="8">
        <v>6</v>
      </c>
      <c r="I61" s="8">
        <v>618.25</v>
      </c>
      <c r="J61" s="8">
        <v>0.1</v>
      </c>
      <c r="K61" s="3">
        <v>3338.55</v>
      </c>
      <c r="L61" t="s">
        <v>35</v>
      </c>
      <c r="M61" t="s">
        <v>20</v>
      </c>
      <c r="N61" s="3">
        <f>Table13[[#This Row],[Quantity]]*Table13[[#This Row],[UnitPrice]]*(1-Table13[[#This Row],[Discount]])</f>
        <v>3338.55</v>
      </c>
    </row>
    <row r="62" spans="1:14" hidden="1" x14ac:dyDescent="0.35">
      <c r="A62" s="8">
        <v>1088</v>
      </c>
      <c r="B62" s="2">
        <v>45765</v>
      </c>
      <c r="C62" t="s">
        <v>27</v>
      </c>
      <c r="D62" t="s">
        <v>54</v>
      </c>
      <c r="E62" t="s">
        <v>50</v>
      </c>
      <c r="F62" t="s">
        <v>24</v>
      </c>
      <c r="G62" t="s">
        <v>38</v>
      </c>
      <c r="H62" s="8">
        <v>11</v>
      </c>
      <c r="I62" s="8">
        <v>966.5</v>
      </c>
      <c r="J62" s="8">
        <v>0</v>
      </c>
      <c r="K62" s="3">
        <v>10631.5</v>
      </c>
      <c r="L62" t="s">
        <v>19</v>
      </c>
      <c r="M62" t="s">
        <v>20</v>
      </c>
      <c r="N62" s="3">
        <f>Table13[[#This Row],[Quantity]]*Table13[[#This Row],[UnitPrice]]*(1-Table13[[#This Row],[Discount]])</f>
        <v>10631.5</v>
      </c>
    </row>
    <row r="63" spans="1:14" hidden="1" x14ac:dyDescent="0.35">
      <c r="A63" s="8">
        <v>1183</v>
      </c>
      <c r="B63" s="2">
        <v>45767</v>
      </c>
      <c r="C63" t="s">
        <v>14</v>
      </c>
      <c r="D63" t="s">
        <v>47</v>
      </c>
      <c r="E63" t="s">
        <v>84</v>
      </c>
      <c r="F63" t="s">
        <v>33</v>
      </c>
      <c r="G63" t="s">
        <v>34</v>
      </c>
      <c r="H63" s="8">
        <v>1</v>
      </c>
      <c r="I63" s="8">
        <v>1039.8</v>
      </c>
      <c r="J63" s="8">
        <v>0.15</v>
      </c>
      <c r="K63" s="3">
        <v>883.83</v>
      </c>
      <c r="L63" t="s">
        <v>39</v>
      </c>
      <c r="M63" t="s">
        <v>26</v>
      </c>
      <c r="N63" s="3">
        <f>Table13[[#This Row],[Quantity]]*Table13[[#This Row],[UnitPrice]]*(1-Table13[[#This Row],[Discount]])</f>
        <v>883.82999999999993</v>
      </c>
    </row>
    <row r="64" spans="1:14" hidden="1" x14ac:dyDescent="0.35">
      <c r="A64" s="8">
        <v>1159</v>
      </c>
      <c r="B64" s="2">
        <v>45768</v>
      </c>
      <c r="C64" t="s">
        <v>21</v>
      </c>
      <c r="D64" t="s">
        <v>22</v>
      </c>
      <c r="E64" t="s">
        <v>85</v>
      </c>
      <c r="F64" t="s">
        <v>17</v>
      </c>
      <c r="G64" t="s">
        <v>46</v>
      </c>
      <c r="H64" s="8">
        <v>5</v>
      </c>
      <c r="I64" s="8">
        <v>682.4</v>
      </c>
      <c r="J64" s="8">
        <v>0.05</v>
      </c>
      <c r="K64" s="3">
        <v>3241.4</v>
      </c>
      <c r="L64" t="s">
        <v>35</v>
      </c>
      <c r="M64" t="s">
        <v>26</v>
      </c>
      <c r="N64" s="3">
        <f>Table13[[#This Row],[Quantity]]*Table13[[#This Row],[UnitPrice]]*(1-Table13[[#This Row],[Discount]])</f>
        <v>3241.3999999999996</v>
      </c>
    </row>
    <row r="65" spans="1:14" hidden="1" x14ac:dyDescent="0.35">
      <c r="A65" s="8">
        <v>1048</v>
      </c>
      <c r="B65" s="2">
        <v>45769</v>
      </c>
      <c r="C65" t="s">
        <v>27</v>
      </c>
      <c r="D65" t="s">
        <v>47</v>
      </c>
      <c r="E65" t="s">
        <v>86</v>
      </c>
      <c r="F65" t="s">
        <v>33</v>
      </c>
      <c r="G65" t="s">
        <v>34</v>
      </c>
      <c r="H65" s="8">
        <v>14</v>
      </c>
      <c r="I65" s="8">
        <v>766.3</v>
      </c>
      <c r="J65" s="8">
        <v>0</v>
      </c>
      <c r="K65" s="3">
        <v>10728.2</v>
      </c>
      <c r="L65" t="s">
        <v>19</v>
      </c>
      <c r="M65" t="s">
        <v>26</v>
      </c>
      <c r="N65" s="3">
        <f>Table13[[#This Row],[Quantity]]*Table13[[#This Row],[UnitPrice]]*(1-Table13[[#This Row],[Discount]])</f>
        <v>10728.199999999999</v>
      </c>
    </row>
    <row r="66" spans="1:14" hidden="1" x14ac:dyDescent="0.35">
      <c r="A66" s="8">
        <v>1215</v>
      </c>
      <c r="B66" s="2">
        <v>45770</v>
      </c>
      <c r="C66" t="s">
        <v>14</v>
      </c>
      <c r="D66" t="s">
        <v>15</v>
      </c>
      <c r="E66" t="s">
        <v>65</v>
      </c>
      <c r="F66" t="s">
        <v>33</v>
      </c>
      <c r="G66" t="s">
        <v>61</v>
      </c>
      <c r="H66" s="8">
        <v>10</v>
      </c>
      <c r="I66" s="8">
        <v>79.92</v>
      </c>
      <c r="J66" s="8">
        <v>0.1</v>
      </c>
      <c r="K66" s="3">
        <v>719.28</v>
      </c>
      <c r="L66" t="s">
        <v>19</v>
      </c>
      <c r="M66" t="s">
        <v>20</v>
      </c>
      <c r="N66" s="3">
        <f>Table13[[#This Row],[Quantity]]*Table13[[#This Row],[UnitPrice]]*(1-Table13[[#This Row],[Discount]])</f>
        <v>719.28000000000009</v>
      </c>
    </row>
    <row r="67" spans="1:14" hidden="1" x14ac:dyDescent="0.35">
      <c r="A67" s="8">
        <v>1010</v>
      </c>
      <c r="B67" s="2">
        <v>45771</v>
      </c>
      <c r="C67" t="s">
        <v>14</v>
      </c>
      <c r="D67" t="s">
        <v>31</v>
      </c>
      <c r="E67" t="s">
        <v>87</v>
      </c>
      <c r="F67" t="s">
        <v>24</v>
      </c>
      <c r="G67" t="s">
        <v>63</v>
      </c>
      <c r="H67" s="8">
        <v>2</v>
      </c>
      <c r="I67" s="8">
        <v>759.34</v>
      </c>
      <c r="J67" s="8">
        <v>0.05</v>
      </c>
      <c r="K67" s="3">
        <v>1442.75</v>
      </c>
      <c r="L67" t="s">
        <v>19</v>
      </c>
      <c r="M67" t="s">
        <v>36</v>
      </c>
      <c r="N67" s="3">
        <f>Table13[[#This Row],[Quantity]]*Table13[[#This Row],[UnitPrice]]*(1-Table13[[#This Row],[Discount]])</f>
        <v>1442.7460000000001</v>
      </c>
    </row>
    <row r="68" spans="1:14" hidden="1" x14ac:dyDescent="0.35">
      <c r="A68" s="8">
        <v>1198</v>
      </c>
      <c r="B68" s="2">
        <v>45775</v>
      </c>
      <c r="C68" t="s">
        <v>27</v>
      </c>
      <c r="D68" t="s">
        <v>31</v>
      </c>
      <c r="E68" t="s">
        <v>32</v>
      </c>
      <c r="F68" t="s">
        <v>17</v>
      </c>
      <c r="G68" t="s">
        <v>18</v>
      </c>
      <c r="H68" s="8">
        <v>11</v>
      </c>
      <c r="I68" s="8">
        <v>1087.1199999999999</v>
      </c>
      <c r="J68" s="8">
        <v>0</v>
      </c>
      <c r="K68" s="3">
        <v>11958.32</v>
      </c>
      <c r="L68" t="s">
        <v>39</v>
      </c>
      <c r="M68" t="s">
        <v>36</v>
      </c>
      <c r="N68" s="3">
        <f>Table13[[#This Row],[Quantity]]*Table13[[#This Row],[UnitPrice]]*(1-Table13[[#This Row],[Discount]])</f>
        <v>11958.32</v>
      </c>
    </row>
    <row r="69" spans="1:14" hidden="1" x14ac:dyDescent="0.35">
      <c r="A69" s="8">
        <v>1117</v>
      </c>
      <c r="B69" s="2">
        <v>45775</v>
      </c>
      <c r="C69" t="s">
        <v>14</v>
      </c>
      <c r="D69" t="s">
        <v>15</v>
      </c>
      <c r="E69" t="s">
        <v>41</v>
      </c>
      <c r="F69" t="s">
        <v>17</v>
      </c>
      <c r="G69" t="s">
        <v>30</v>
      </c>
      <c r="H69" s="8">
        <v>10</v>
      </c>
      <c r="I69" s="8">
        <v>727.41</v>
      </c>
      <c r="J69" s="8">
        <v>0.15</v>
      </c>
      <c r="K69" s="3">
        <v>6182.98</v>
      </c>
      <c r="L69" t="s">
        <v>19</v>
      </c>
      <c r="M69" t="s">
        <v>26</v>
      </c>
      <c r="N69" s="3">
        <f>Table13[[#This Row],[Quantity]]*Table13[[#This Row],[UnitPrice]]*(1-Table13[[#This Row],[Discount]])</f>
        <v>6182.9849999999997</v>
      </c>
    </row>
    <row r="70" spans="1:14" hidden="1" x14ac:dyDescent="0.35">
      <c r="A70" s="8">
        <v>1028</v>
      </c>
      <c r="B70" s="2">
        <v>45775</v>
      </c>
      <c r="C70" t="s">
        <v>14</v>
      </c>
      <c r="D70" t="s">
        <v>15</v>
      </c>
      <c r="E70" t="s">
        <v>40</v>
      </c>
      <c r="F70" t="s">
        <v>33</v>
      </c>
      <c r="G70" t="s">
        <v>34</v>
      </c>
      <c r="H70" s="8">
        <v>11</v>
      </c>
      <c r="I70" s="8">
        <v>505.67</v>
      </c>
      <c r="J70" s="8">
        <v>0.15</v>
      </c>
      <c r="K70" s="3">
        <v>4728.01</v>
      </c>
      <c r="L70" t="s">
        <v>39</v>
      </c>
      <c r="M70" t="s">
        <v>26</v>
      </c>
      <c r="N70" s="3">
        <f>Table13[[#This Row],[Quantity]]*Table13[[#This Row],[UnitPrice]]*(1-Table13[[#This Row],[Discount]])</f>
        <v>4728.0145000000002</v>
      </c>
    </row>
    <row r="71" spans="1:14" hidden="1" x14ac:dyDescent="0.35">
      <c r="A71" s="8">
        <v>1039</v>
      </c>
      <c r="B71" s="2">
        <v>45777</v>
      </c>
      <c r="C71" t="s">
        <v>14</v>
      </c>
      <c r="D71" t="s">
        <v>31</v>
      </c>
      <c r="E71" t="s">
        <v>70</v>
      </c>
      <c r="F71" t="s">
        <v>24</v>
      </c>
      <c r="G71" t="s">
        <v>63</v>
      </c>
      <c r="H71" s="8">
        <v>2</v>
      </c>
      <c r="I71" s="8">
        <v>999</v>
      </c>
      <c r="J71" s="8">
        <v>0.05</v>
      </c>
      <c r="K71" s="3">
        <v>2242.6999999999998</v>
      </c>
      <c r="L71" t="s">
        <v>35</v>
      </c>
      <c r="M71" t="s">
        <v>20</v>
      </c>
      <c r="N71" s="3">
        <f>Table13[[#This Row],[Quantity]]*Table13[[#This Row],[UnitPrice]]*(1-Table13[[#This Row],[Discount]])</f>
        <v>1898.1</v>
      </c>
    </row>
    <row r="72" spans="1:14" hidden="1" x14ac:dyDescent="0.35">
      <c r="A72" s="8">
        <v>1176</v>
      </c>
      <c r="B72" s="2">
        <v>45780</v>
      </c>
      <c r="C72" t="s">
        <v>21</v>
      </c>
      <c r="D72" t="s">
        <v>15</v>
      </c>
      <c r="E72" t="s">
        <v>32</v>
      </c>
      <c r="F72" t="s">
        <v>33</v>
      </c>
      <c r="G72" t="s">
        <v>53</v>
      </c>
      <c r="H72" s="8">
        <v>3</v>
      </c>
      <c r="I72" s="8">
        <v>729.99</v>
      </c>
      <c r="J72" s="8">
        <v>0.15</v>
      </c>
      <c r="K72" s="3">
        <v>1861.47</v>
      </c>
      <c r="L72" t="s">
        <v>35</v>
      </c>
      <c r="M72" t="s">
        <v>36</v>
      </c>
      <c r="N72" s="3">
        <f>Table13[[#This Row],[Quantity]]*Table13[[#This Row],[UnitPrice]]*(1-Table13[[#This Row],[Discount]])</f>
        <v>1861.4745000000003</v>
      </c>
    </row>
    <row r="73" spans="1:14" hidden="1" x14ac:dyDescent="0.35">
      <c r="A73" s="8">
        <v>1273</v>
      </c>
      <c r="B73" s="2">
        <v>45781</v>
      </c>
      <c r="C73" t="s">
        <v>14</v>
      </c>
      <c r="D73" t="s">
        <v>31</v>
      </c>
      <c r="E73" t="s">
        <v>89</v>
      </c>
      <c r="F73" t="s">
        <v>24</v>
      </c>
      <c r="G73" t="s">
        <v>38</v>
      </c>
      <c r="H73" s="8">
        <v>13</v>
      </c>
      <c r="I73" s="8">
        <v>447.82</v>
      </c>
      <c r="J73" s="8">
        <v>0.15</v>
      </c>
      <c r="K73" s="3">
        <v>4948.41</v>
      </c>
      <c r="L73" t="s">
        <v>39</v>
      </c>
      <c r="M73" t="s">
        <v>26</v>
      </c>
      <c r="N73" s="3">
        <f>Table13[[#This Row],[Quantity]]*Table13[[#This Row],[UnitPrice]]*(1-Table13[[#This Row],[Discount]])</f>
        <v>4948.4110000000001</v>
      </c>
    </row>
    <row r="74" spans="1:14" hidden="1" x14ac:dyDescent="0.35">
      <c r="A74" s="8">
        <v>1098</v>
      </c>
      <c r="B74" s="2">
        <v>45781</v>
      </c>
      <c r="C74" t="s">
        <v>27</v>
      </c>
      <c r="D74" t="s">
        <v>15</v>
      </c>
      <c r="E74" t="s">
        <v>88</v>
      </c>
      <c r="F74" t="s">
        <v>17</v>
      </c>
      <c r="G74" t="s">
        <v>18</v>
      </c>
      <c r="H74" s="8">
        <v>2</v>
      </c>
      <c r="I74" s="8">
        <v>701.36</v>
      </c>
      <c r="J74" s="8">
        <v>0.1</v>
      </c>
      <c r="K74" s="3">
        <v>1262.45</v>
      </c>
      <c r="L74" t="s">
        <v>19</v>
      </c>
      <c r="M74" t="s">
        <v>20</v>
      </c>
      <c r="N74" s="3">
        <f>Table13[[#This Row],[Quantity]]*Table13[[#This Row],[UnitPrice]]*(1-Table13[[#This Row],[Discount]])</f>
        <v>1262.4480000000001</v>
      </c>
    </row>
    <row r="75" spans="1:14" hidden="1" x14ac:dyDescent="0.35">
      <c r="A75" s="8">
        <v>1138</v>
      </c>
      <c r="B75" s="2">
        <v>45783</v>
      </c>
      <c r="C75" t="s">
        <v>27</v>
      </c>
      <c r="D75" t="s">
        <v>31</v>
      </c>
      <c r="E75" t="s">
        <v>79</v>
      </c>
      <c r="F75" t="s">
        <v>17</v>
      </c>
      <c r="G75" t="s">
        <v>46</v>
      </c>
      <c r="H75" s="8">
        <v>4</v>
      </c>
      <c r="I75" s="8">
        <v>1071.3399999999999</v>
      </c>
      <c r="J75" s="8">
        <v>0.05</v>
      </c>
      <c r="K75" s="3">
        <v>4071.09</v>
      </c>
      <c r="L75" t="s">
        <v>35</v>
      </c>
      <c r="M75" t="s">
        <v>26</v>
      </c>
      <c r="N75" s="3">
        <f>Table13[[#This Row],[Quantity]]*Table13[[#This Row],[UnitPrice]]*(1-Table13[[#This Row],[Discount]])</f>
        <v>4071.0919999999996</v>
      </c>
    </row>
    <row r="76" spans="1:14" hidden="1" x14ac:dyDescent="0.35">
      <c r="A76" s="8">
        <v>1232</v>
      </c>
      <c r="B76" s="2">
        <v>45785</v>
      </c>
      <c r="C76" t="s">
        <v>21</v>
      </c>
      <c r="D76" t="s">
        <v>28</v>
      </c>
      <c r="E76" t="s">
        <v>52</v>
      </c>
      <c r="F76" t="s">
        <v>33</v>
      </c>
      <c r="G76" t="s">
        <v>34</v>
      </c>
      <c r="H76" s="8">
        <v>14</v>
      </c>
      <c r="I76" s="8">
        <v>579.27</v>
      </c>
      <c r="J76" s="8">
        <v>0.15</v>
      </c>
      <c r="K76" s="3">
        <v>6893.31</v>
      </c>
      <c r="L76" t="s">
        <v>35</v>
      </c>
      <c r="M76" t="s">
        <v>20</v>
      </c>
      <c r="N76" s="3">
        <f>Table13[[#This Row],[Quantity]]*Table13[[#This Row],[UnitPrice]]*(1-Table13[[#This Row],[Discount]])</f>
        <v>6893.3129999999992</v>
      </c>
    </row>
    <row r="77" spans="1:14" x14ac:dyDescent="0.35">
      <c r="A77" s="4">
        <v>1257</v>
      </c>
      <c r="B77" s="5">
        <v>45787</v>
      </c>
      <c r="C77" s="6" t="s">
        <v>43</v>
      </c>
      <c r="D77" s="6" t="s">
        <v>15</v>
      </c>
      <c r="E77" s="6" t="s">
        <v>81</v>
      </c>
      <c r="F77" s="6" t="s">
        <v>24</v>
      </c>
      <c r="G77" s="6" t="s">
        <v>38</v>
      </c>
      <c r="H77" s="4">
        <v>13</v>
      </c>
      <c r="I77" s="4">
        <v>574.36</v>
      </c>
      <c r="J77" s="4">
        <v>0.1</v>
      </c>
      <c r="K77" s="7">
        <v>6720.01</v>
      </c>
      <c r="L77" s="6" t="s">
        <v>19</v>
      </c>
      <c r="M77" s="6" t="s">
        <v>36</v>
      </c>
      <c r="N77" s="7">
        <f>Table13[[#This Row],[Quantity]]*Table13[[#This Row],[UnitPrice]]*(1-Table13[[#This Row],[Discount]])</f>
        <v>6720.0120000000006</v>
      </c>
    </row>
    <row r="78" spans="1:14" x14ac:dyDescent="0.35">
      <c r="A78" s="4">
        <v>1202</v>
      </c>
      <c r="B78" s="5">
        <v>45788</v>
      </c>
      <c r="C78" s="6" t="s">
        <v>43</v>
      </c>
      <c r="D78" s="6" t="s">
        <v>54</v>
      </c>
      <c r="E78" s="6" t="s">
        <v>72</v>
      </c>
      <c r="F78" s="6" t="s">
        <v>17</v>
      </c>
      <c r="G78" s="6" t="s">
        <v>18</v>
      </c>
      <c r="H78" s="4">
        <v>14</v>
      </c>
      <c r="I78" s="4">
        <v>413.43</v>
      </c>
      <c r="J78" s="4">
        <v>0.15</v>
      </c>
      <c r="K78" s="7">
        <v>4919.82</v>
      </c>
      <c r="L78" s="6" t="s">
        <v>35</v>
      </c>
      <c r="M78" s="6" t="s">
        <v>36</v>
      </c>
      <c r="N78" s="7">
        <f>Table13[[#This Row],[Quantity]]*Table13[[#This Row],[UnitPrice]]*(1-Table13[[#This Row],[Discount]])</f>
        <v>4919.817</v>
      </c>
    </row>
    <row r="79" spans="1:14" hidden="1" x14ac:dyDescent="0.35">
      <c r="A79" s="8">
        <v>1237</v>
      </c>
      <c r="B79" s="2">
        <v>45789</v>
      </c>
      <c r="C79" t="s">
        <v>21</v>
      </c>
      <c r="D79" t="s">
        <v>31</v>
      </c>
      <c r="E79" t="s">
        <v>55</v>
      </c>
      <c r="F79" t="s">
        <v>33</v>
      </c>
      <c r="G79" t="s">
        <v>34</v>
      </c>
      <c r="H79" s="8">
        <v>15</v>
      </c>
      <c r="I79" s="8">
        <v>522.66</v>
      </c>
      <c r="J79" s="8">
        <v>0.05</v>
      </c>
      <c r="K79" s="3">
        <v>7447.9</v>
      </c>
      <c r="L79" t="s">
        <v>19</v>
      </c>
      <c r="M79" t="s">
        <v>26</v>
      </c>
      <c r="N79" s="3">
        <f>Table13[[#This Row],[Quantity]]*Table13[[#This Row],[UnitPrice]]*(1-Table13[[#This Row],[Discount]])</f>
        <v>7447.9049999999997</v>
      </c>
    </row>
    <row r="80" spans="1:14" hidden="1" x14ac:dyDescent="0.35">
      <c r="A80" s="8">
        <v>1054</v>
      </c>
      <c r="B80" s="2">
        <v>45791</v>
      </c>
      <c r="C80" t="s">
        <v>27</v>
      </c>
      <c r="D80" t="s">
        <v>28</v>
      </c>
      <c r="E80" t="s">
        <v>78</v>
      </c>
      <c r="F80" t="s">
        <v>24</v>
      </c>
      <c r="G80" t="s">
        <v>25</v>
      </c>
      <c r="H80" s="8">
        <v>10</v>
      </c>
      <c r="I80" s="8">
        <v>382.06</v>
      </c>
      <c r="J80" s="8">
        <v>0.05</v>
      </c>
      <c r="K80" s="3">
        <v>3629.57</v>
      </c>
      <c r="L80" t="s">
        <v>39</v>
      </c>
      <c r="M80" t="s">
        <v>36</v>
      </c>
      <c r="N80" s="3">
        <f>Table13[[#This Row],[Quantity]]*Table13[[#This Row],[UnitPrice]]*(1-Table13[[#This Row],[Discount]])</f>
        <v>3629.5699999999997</v>
      </c>
    </row>
    <row r="81" spans="1:14" hidden="1" x14ac:dyDescent="0.35">
      <c r="A81" s="8">
        <v>1025</v>
      </c>
      <c r="B81" s="2">
        <v>45791</v>
      </c>
      <c r="C81" t="s">
        <v>27</v>
      </c>
      <c r="D81" t="s">
        <v>54</v>
      </c>
      <c r="E81" t="s">
        <v>90</v>
      </c>
      <c r="F81" t="s">
        <v>17</v>
      </c>
      <c r="G81" t="s">
        <v>18</v>
      </c>
      <c r="H81" s="8">
        <v>10</v>
      </c>
      <c r="I81" s="8">
        <v>268.57</v>
      </c>
      <c r="J81" s="8">
        <v>0</v>
      </c>
      <c r="K81" s="3">
        <v>2685.7</v>
      </c>
      <c r="L81" t="s">
        <v>35</v>
      </c>
      <c r="M81" t="s">
        <v>36</v>
      </c>
      <c r="N81" s="3">
        <f>Table13[[#This Row],[Quantity]]*Table13[[#This Row],[UnitPrice]]*(1-Table13[[#This Row],[Discount]])</f>
        <v>2685.7</v>
      </c>
    </row>
    <row r="82" spans="1:14" hidden="1" x14ac:dyDescent="0.35">
      <c r="A82" s="8">
        <v>1119</v>
      </c>
      <c r="B82" s="2">
        <v>45794</v>
      </c>
      <c r="C82" t="s">
        <v>21</v>
      </c>
      <c r="D82" t="s">
        <v>28</v>
      </c>
      <c r="E82" t="s">
        <v>91</v>
      </c>
      <c r="F82" t="s">
        <v>24</v>
      </c>
      <c r="G82" t="s">
        <v>25</v>
      </c>
      <c r="H82" s="8">
        <v>2</v>
      </c>
      <c r="I82" s="8">
        <v>804.39</v>
      </c>
      <c r="J82" s="8">
        <v>0</v>
      </c>
      <c r="K82" s="3">
        <v>1608.78</v>
      </c>
      <c r="L82" t="s">
        <v>39</v>
      </c>
      <c r="M82" t="s">
        <v>26</v>
      </c>
      <c r="N82" s="3">
        <f>Table13[[#This Row],[Quantity]]*Table13[[#This Row],[UnitPrice]]*(1-Table13[[#This Row],[Discount]])</f>
        <v>1608.78</v>
      </c>
    </row>
    <row r="83" spans="1:14" hidden="1" x14ac:dyDescent="0.35">
      <c r="A83" s="8">
        <v>1068</v>
      </c>
      <c r="B83" s="2">
        <v>45796</v>
      </c>
      <c r="C83" t="s">
        <v>14</v>
      </c>
      <c r="D83" t="s">
        <v>54</v>
      </c>
      <c r="E83" t="s">
        <v>89</v>
      </c>
      <c r="F83" t="s">
        <v>33</v>
      </c>
      <c r="G83" t="s">
        <v>61</v>
      </c>
      <c r="H83" s="8">
        <v>4</v>
      </c>
      <c r="I83" s="8">
        <v>779.99</v>
      </c>
      <c r="J83" s="8">
        <v>0.15</v>
      </c>
      <c r="K83" s="3">
        <v>2651.97</v>
      </c>
      <c r="L83" t="s">
        <v>39</v>
      </c>
      <c r="M83" t="s">
        <v>36</v>
      </c>
      <c r="N83" s="3">
        <f>Table13[[#This Row],[Quantity]]*Table13[[#This Row],[UnitPrice]]*(1-Table13[[#This Row],[Discount]])</f>
        <v>2651.9659999999999</v>
      </c>
    </row>
    <row r="84" spans="1:14" hidden="1" x14ac:dyDescent="0.35">
      <c r="A84" s="8">
        <v>1238</v>
      </c>
      <c r="B84" s="2">
        <v>45798</v>
      </c>
      <c r="C84" t="s">
        <v>14</v>
      </c>
      <c r="D84" t="s">
        <v>22</v>
      </c>
      <c r="E84" t="s">
        <v>92</v>
      </c>
      <c r="F84" t="s">
        <v>33</v>
      </c>
      <c r="G84" t="s">
        <v>61</v>
      </c>
      <c r="H84" s="8">
        <v>12</v>
      </c>
      <c r="I84" s="8">
        <v>810.84</v>
      </c>
      <c r="J84" s="8">
        <v>0.1</v>
      </c>
      <c r="K84" s="3">
        <v>8757.07</v>
      </c>
      <c r="L84" t="s">
        <v>35</v>
      </c>
      <c r="M84" t="s">
        <v>26</v>
      </c>
      <c r="N84" s="3">
        <f>Table13[[#This Row],[Quantity]]*Table13[[#This Row],[UnitPrice]]*(1-Table13[[#This Row],[Discount]])</f>
        <v>8757.0720000000001</v>
      </c>
    </row>
    <row r="85" spans="1:14" hidden="1" x14ac:dyDescent="0.35">
      <c r="A85" s="8">
        <v>1269</v>
      </c>
      <c r="B85" s="2">
        <v>45804</v>
      </c>
      <c r="C85" t="s">
        <v>14</v>
      </c>
      <c r="D85" t="s">
        <v>28</v>
      </c>
      <c r="E85" t="s">
        <v>93</v>
      </c>
      <c r="F85" t="s">
        <v>33</v>
      </c>
      <c r="G85" t="s">
        <v>61</v>
      </c>
      <c r="H85" s="8">
        <v>14</v>
      </c>
      <c r="I85" s="8">
        <v>703.31</v>
      </c>
      <c r="J85" s="8">
        <v>0.15</v>
      </c>
      <c r="K85" s="3">
        <v>8369.39</v>
      </c>
      <c r="L85" t="s">
        <v>35</v>
      </c>
      <c r="M85" t="s">
        <v>26</v>
      </c>
      <c r="N85" s="3">
        <f>Table13[[#This Row],[Quantity]]*Table13[[#This Row],[UnitPrice]]*(1-Table13[[#This Row],[Discount]])</f>
        <v>8369.3889999999992</v>
      </c>
    </row>
    <row r="86" spans="1:14" x14ac:dyDescent="0.35">
      <c r="A86" s="4">
        <v>1124</v>
      </c>
      <c r="B86" s="5">
        <v>45805</v>
      </c>
      <c r="C86" s="6" t="s">
        <v>43</v>
      </c>
      <c r="D86" s="6" t="s">
        <v>15</v>
      </c>
      <c r="E86" s="6" t="s">
        <v>94</v>
      </c>
      <c r="F86" s="6" t="s">
        <v>17</v>
      </c>
      <c r="G86" s="6" t="s">
        <v>18</v>
      </c>
      <c r="H86" s="4">
        <v>12</v>
      </c>
      <c r="I86" s="4">
        <v>1056.01</v>
      </c>
      <c r="J86" s="4">
        <v>0.15</v>
      </c>
      <c r="K86" s="7">
        <v>10771.3</v>
      </c>
      <c r="L86" s="6" t="s">
        <v>35</v>
      </c>
      <c r="M86" s="6" t="s">
        <v>26</v>
      </c>
      <c r="N86" s="7">
        <f>Table13[[#This Row],[Quantity]]*Table13[[#This Row],[UnitPrice]]*(1-Table13[[#This Row],[Discount]])</f>
        <v>10771.302</v>
      </c>
    </row>
    <row r="87" spans="1:14" x14ac:dyDescent="0.35">
      <c r="A87" s="4">
        <v>1180</v>
      </c>
      <c r="B87" s="5">
        <v>45805</v>
      </c>
      <c r="C87" s="6" t="s">
        <v>43</v>
      </c>
      <c r="D87" s="6" t="s">
        <v>22</v>
      </c>
      <c r="E87" s="6" t="s">
        <v>92</v>
      </c>
      <c r="F87" s="6" t="s">
        <v>33</v>
      </c>
      <c r="G87" s="6" t="s">
        <v>61</v>
      </c>
      <c r="H87" s="4">
        <v>8</v>
      </c>
      <c r="I87" s="4">
        <v>903.97</v>
      </c>
      <c r="J87" s="4">
        <v>0.1</v>
      </c>
      <c r="K87" s="7">
        <v>6508.58</v>
      </c>
      <c r="L87" s="6" t="s">
        <v>39</v>
      </c>
      <c r="M87" s="6" t="s">
        <v>26</v>
      </c>
      <c r="N87" s="7">
        <f>Table13[[#This Row],[Quantity]]*Table13[[#This Row],[UnitPrice]]*(1-Table13[[#This Row],[Discount]])</f>
        <v>6508.5840000000007</v>
      </c>
    </row>
    <row r="88" spans="1:14" x14ac:dyDescent="0.35">
      <c r="A88" s="4">
        <v>1246</v>
      </c>
      <c r="B88" s="5">
        <v>45805</v>
      </c>
      <c r="C88" s="6" t="s">
        <v>43</v>
      </c>
      <c r="D88" s="6" t="s">
        <v>54</v>
      </c>
      <c r="E88" s="6" t="s">
        <v>48</v>
      </c>
      <c r="F88" s="6" t="s">
        <v>33</v>
      </c>
      <c r="G88" s="6" t="s">
        <v>53</v>
      </c>
      <c r="H88" s="4">
        <v>8</v>
      </c>
      <c r="I88" s="4">
        <v>492.92</v>
      </c>
      <c r="J88" s="4">
        <v>0.15</v>
      </c>
      <c r="K88" s="7">
        <v>3351.86</v>
      </c>
      <c r="L88" s="6" t="s">
        <v>39</v>
      </c>
      <c r="M88" s="6" t="s">
        <v>26</v>
      </c>
      <c r="N88" s="7">
        <f>Table13[[#This Row],[Quantity]]*Table13[[#This Row],[UnitPrice]]*(1-Table13[[#This Row],[Discount]])</f>
        <v>3351.8560000000002</v>
      </c>
    </row>
    <row r="89" spans="1:14" hidden="1" x14ac:dyDescent="0.35">
      <c r="A89" s="8">
        <v>1262</v>
      </c>
      <c r="B89" s="2">
        <v>45807</v>
      </c>
      <c r="C89" t="s">
        <v>14</v>
      </c>
      <c r="D89" t="s">
        <v>28</v>
      </c>
      <c r="E89" t="s">
        <v>49</v>
      </c>
      <c r="F89" t="s">
        <v>17</v>
      </c>
      <c r="G89" t="s">
        <v>46</v>
      </c>
      <c r="H89" s="8">
        <v>6</v>
      </c>
      <c r="I89" s="8">
        <v>1035.44</v>
      </c>
      <c r="J89" s="8">
        <v>0.1</v>
      </c>
      <c r="K89" s="3">
        <v>5591.38</v>
      </c>
      <c r="L89" t="s">
        <v>39</v>
      </c>
      <c r="M89" t="s">
        <v>36</v>
      </c>
      <c r="N89" s="3">
        <f>Table13[[#This Row],[Quantity]]*Table13[[#This Row],[UnitPrice]]*(1-Table13[[#This Row],[Discount]])</f>
        <v>5591.3760000000002</v>
      </c>
    </row>
    <row r="90" spans="1:14" hidden="1" x14ac:dyDescent="0.35">
      <c r="A90" s="8">
        <v>1109</v>
      </c>
      <c r="B90" s="2">
        <v>45809</v>
      </c>
      <c r="C90" t="s">
        <v>21</v>
      </c>
      <c r="D90" t="s">
        <v>15</v>
      </c>
      <c r="E90" t="s">
        <v>82</v>
      </c>
      <c r="F90" t="s">
        <v>24</v>
      </c>
      <c r="G90" t="s">
        <v>63</v>
      </c>
      <c r="H90" s="8">
        <v>8</v>
      </c>
      <c r="I90" s="8">
        <v>1154.1199999999999</v>
      </c>
      <c r="J90" s="8">
        <v>0.1</v>
      </c>
      <c r="K90" s="3">
        <v>8309.66</v>
      </c>
      <c r="L90" t="s">
        <v>19</v>
      </c>
      <c r="M90" t="s">
        <v>26</v>
      </c>
      <c r="N90" s="3">
        <f>Table13[[#This Row],[Quantity]]*Table13[[#This Row],[UnitPrice]]*(1-Table13[[#This Row],[Discount]])</f>
        <v>8309.6639999999989</v>
      </c>
    </row>
    <row r="91" spans="1:14" hidden="1" x14ac:dyDescent="0.35">
      <c r="A91" s="8">
        <v>1152</v>
      </c>
      <c r="B91" s="2">
        <v>45811</v>
      </c>
      <c r="C91" t="s">
        <v>27</v>
      </c>
      <c r="D91" t="s">
        <v>28</v>
      </c>
      <c r="E91" t="s">
        <v>95</v>
      </c>
      <c r="F91" t="s">
        <v>24</v>
      </c>
      <c r="G91" t="s">
        <v>63</v>
      </c>
      <c r="H91" s="8">
        <v>10</v>
      </c>
      <c r="I91" s="8">
        <v>639.47</v>
      </c>
      <c r="J91" s="8">
        <v>0.15</v>
      </c>
      <c r="K91" s="3">
        <v>5435.5</v>
      </c>
      <c r="L91" t="s">
        <v>35</v>
      </c>
      <c r="M91" t="s">
        <v>20</v>
      </c>
      <c r="N91" s="3">
        <f>Table13[[#This Row],[Quantity]]*Table13[[#This Row],[UnitPrice]]*(1-Table13[[#This Row],[Discount]])</f>
        <v>5435.4950000000008</v>
      </c>
    </row>
    <row r="92" spans="1:14" x14ac:dyDescent="0.35">
      <c r="A92" s="4">
        <v>1265</v>
      </c>
      <c r="B92" s="5">
        <v>45812</v>
      </c>
      <c r="C92" s="6" t="s">
        <v>43</v>
      </c>
      <c r="D92" s="6" t="s">
        <v>31</v>
      </c>
      <c r="E92" s="6" t="s">
        <v>96</v>
      </c>
      <c r="F92" s="6" t="s">
        <v>24</v>
      </c>
      <c r="G92" s="6" t="s">
        <v>63</v>
      </c>
      <c r="H92" s="4">
        <v>12</v>
      </c>
      <c r="I92" s="4">
        <v>17.03</v>
      </c>
      <c r="J92" s="4">
        <v>0</v>
      </c>
      <c r="K92" s="7">
        <v>204.36</v>
      </c>
      <c r="L92" s="6" t="s">
        <v>35</v>
      </c>
      <c r="M92" s="6" t="s">
        <v>26</v>
      </c>
      <c r="N92" s="7">
        <f>Table13[[#This Row],[Quantity]]*Table13[[#This Row],[UnitPrice]]*(1-Table13[[#This Row],[Discount]])</f>
        <v>204.36</v>
      </c>
    </row>
    <row r="93" spans="1:14" hidden="1" x14ac:dyDescent="0.35">
      <c r="A93" s="8">
        <v>1235</v>
      </c>
      <c r="B93" s="2">
        <v>45815</v>
      </c>
      <c r="C93" t="s">
        <v>27</v>
      </c>
      <c r="D93" t="s">
        <v>47</v>
      </c>
      <c r="E93" t="s">
        <v>83</v>
      </c>
      <c r="F93" t="s">
        <v>24</v>
      </c>
      <c r="G93" t="s">
        <v>25</v>
      </c>
      <c r="H93" s="8">
        <v>2</v>
      </c>
      <c r="I93" s="8">
        <v>959.28</v>
      </c>
      <c r="J93" s="8">
        <v>0.1</v>
      </c>
      <c r="K93" s="3">
        <v>1726.7</v>
      </c>
      <c r="L93" t="s">
        <v>19</v>
      </c>
      <c r="M93" t="s">
        <v>26</v>
      </c>
      <c r="N93" s="3">
        <f>Table13[[#This Row],[Quantity]]*Table13[[#This Row],[UnitPrice]]*(1-Table13[[#This Row],[Discount]])</f>
        <v>1726.704</v>
      </c>
    </row>
    <row r="94" spans="1:14" hidden="1" x14ac:dyDescent="0.35">
      <c r="A94" s="8">
        <v>1002</v>
      </c>
      <c r="B94" s="2">
        <v>45817</v>
      </c>
      <c r="C94" t="s">
        <v>27</v>
      </c>
      <c r="D94" t="s">
        <v>54</v>
      </c>
      <c r="E94" t="s">
        <v>77</v>
      </c>
      <c r="F94" t="s">
        <v>24</v>
      </c>
      <c r="G94" t="s">
        <v>63</v>
      </c>
      <c r="H94" s="8">
        <v>8</v>
      </c>
      <c r="I94" s="8">
        <v>958.32</v>
      </c>
      <c r="J94" s="8">
        <v>0.15</v>
      </c>
      <c r="K94" s="3">
        <v>6516.58</v>
      </c>
      <c r="L94" t="s">
        <v>19</v>
      </c>
      <c r="M94" t="s">
        <v>26</v>
      </c>
      <c r="N94" s="3">
        <f>Table13[[#This Row],[Quantity]]*Table13[[#This Row],[UnitPrice]]*(1-Table13[[#This Row],[Discount]])</f>
        <v>6516.576</v>
      </c>
    </row>
    <row r="95" spans="1:14" x14ac:dyDescent="0.35">
      <c r="A95" s="4">
        <v>1093</v>
      </c>
      <c r="B95" s="5">
        <v>45821</v>
      </c>
      <c r="C95" s="6" t="s">
        <v>43</v>
      </c>
      <c r="D95" s="6" t="s">
        <v>47</v>
      </c>
      <c r="E95" s="6" t="s">
        <v>97</v>
      </c>
      <c r="F95" s="6" t="s">
        <v>17</v>
      </c>
      <c r="G95" s="6" t="s">
        <v>30</v>
      </c>
      <c r="H95" s="4">
        <v>8</v>
      </c>
      <c r="I95" s="4">
        <v>1154.5999999999999</v>
      </c>
      <c r="J95" s="4">
        <v>0</v>
      </c>
      <c r="K95" s="7">
        <v>9236.7999999999993</v>
      </c>
      <c r="L95" s="6" t="s">
        <v>19</v>
      </c>
      <c r="M95" s="6" t="s">
        <v>36</v>
      </c>
      <c r="N95" s="7">
        <f>Table13[[#This Row],[Quantity]]*Table13[[#This Row],[UnitPrice]]*(1-Table13[[#This Row],[Discount]])</f>
        <v>9236.7999999999993</v>
      </c>
    </row>
    <row r="96" spans="1:14" x14ac:dyDescent="0.35">
      <c r="A96" s="4">
        <v>1104</v>
      </c>
      <c r="B96" s="5">
        <v>45822</v>
      </c>
      <c r="C96" s="6" t="s">
        <v>43</v>
      </c>
      <c r="D96" s="6" t="s">
        <v>15</v>
      </c>
      <c r="E96" s="6" t="s">
        <v>98</v>
      </c>
      <c r="F96" s="6" t="s">
        <v>24</v>
      </c>
      <c r="G96" s="6" t="s">
        <v>25</v>
      </c>
      <c r="H96" s="4">
        <v>11</v>
      </c>
      <c r="I96" s="4">
        <v>440.47</v>
      </c>
      <c r="J96" s="4">
        <v>0</v>
      </c>
      <c r="K96" s="7">
        <v>4845.17</v>
      </c>
      <c r="L96" s="6" t="s">
        <v>19</v>
      </c>
      <c r="M96" s="6" t="s">
        <v>20</v>
      </c>
      <c r="N96" s="7">
        <f>Table13[[#This Row],[Quantity]]*Table13[[#This Row],[UnitPrice]]*(1-Table13[[#This Row],[Discount]])</f>
        <v>4845.17</v>
      </c>
    </row>
    <row r="97" spans="1:14" x14ac:dyDescent="0.35">
      <c r="A97" s="4">
        <v>1245</v>
      </c>
      <c r="B97" s="5">
        <v>45822</v>
      </c>
      <c r="C97" s="6" t="s">
        <v>43</v>
      </c>
      <c r="D97" s="6" t="s">
        <v>31</v>
      </c>
      <c r="E97" s="6" t="s">
        <v>76</v>
      </c>
      <c r="F97" s="6" t="s">
        <v>17</v>
      </c>
      <c r="G97" s="6" t="s">
        <v>18</v>
      </c>
      <c r="H97" s="4">
        <v>1</v>
      </c>
      <c r="I97" s="4">
        <v>501.06</v>
      </c>
      <c r="J97" s="4">
        <v>0.05</v>
      </c>
      <c r="K97" s="7">
        <v>476.01</v>
      </c>
      <c r="L97" s="6" t="s">
        <v>35</v>
      </c>
      <c r="M97" s="6" t="s">
        <v>20</v>
      </c>
      <c r="N97" s="7">
        <f>Table13[[#This Row],[Quantity]]*Table13[[#This Row],[UnitPrice]]*(1-Table13[[#This Row],[Discount]])</f>
        <v>476.00700000000001</v>
      </c>
    </row>
    <row r="98" spans="1:14" hidden="1" x14ac:dyDescent="0.35">
      <c r="A98" s="8">
        <v>1099</v>
      </c>
      <c r="B98" s="2">
        <v>45823</v>
      </c>
      <c r="C98" t="s">
        <v>14</v>
      </c>
      <c r="D98" t="s">
        <v>22</v>
      </c>
      <c r="E98" t="s">
        <v>99</v>
      </c>
      <c r="F98" t="s">
        <v>17</v>
      </c>
      <c r="G98" t="s">
        <v>30</v>
      </c>
      <c r="H98" s="8">
        <v>11</v>
      </c>
      <c r="I98" s="8">
        <v>1175.1300000000001</v>
      </c>
      <c r="J98" s="8">
        <v>0.1</v>
      </c>
      <c r="K98" s="3">
        <v>11633.79</v>
      </c>
      <c r="L98" t="s">
        <v>35</v>
      </c>
      <c r="M98" t="s">
        <v>26</v>
      </c>
      <c r="N98" s="3">
        <f>Table13[[#This Row],[Quantity]]*Table13[[#This Row],[UnitPrice]]*(1-Table13[[#This Row],[Discount]])</f>
        <v>11633.787</v>
      </c>
    </row>
    <row r="99" spans="1:14" x14ac:dyDescent="0.35">
      <c r="A99" s="4">
        <v>1120</v>
      </c>
      <c r="B99" s="5">
        <v>45824</v>
      </c>
      <c r="C99" s="6" t="s">
        <v>43</v>
      </c>
      <c r="D99" s="6" t="s">
        <v>28</v>
      </c>
      <c r="E99" s="6" t="s">
        <v>100</v>
      </c>
      <c r="F99" s="6" t="s">
        <v>17</v>
      </c>
      <c r="G99" s="6" t="s">
        <v>30</v>
      </c>
      <c r="H99" s="4">
        <v>3</v>
      </c>
      <c r="I99" s="4">
        <v>838.73</v>
      </c>
      <c r="J99" s="4">
        <v>0.1</v>
      </c>
      <c r="K99" s="7">
        <v>2264.5700000000002</v>
      </c>
      <c r="L99" s="6" t="s">
        <v>39</v>
      </c>
      <c r="M99" s="6" t="s">
        <v>26</v>
      </c>
      <c r="N99" s="7">
        <f>Table13[[#This Row],[Quantity]]*Table13[[#This Row],[UnitPrice]]*(1-Table13[[#This Row],[Discount]])</f>
        <v>2264.5709999999999</v>
      </c>
    </row>
    <row r="100" spans="1:14" x14ac:dyDescent="0.35">
      <c r="A100" s="4">
        <v>1185</v>
      </c>
      <c r="B100" s="5">
        <v>45826</v>
      </c>
      <c r="C100" s="6" t="s">
        <v>43</v>
      </c>
      <c r="D100" s="6" t="s">
        <v>47</v>
      </c>
      <c r="E100" s="6" t="s">
        <v>64</v>
      </c>
      <c r="F100" s="6" t="s">
        <v>33</v>
      </c>
      <c r="G100" s="6" t="s">
        <v>53</v>
      </c>
      <c r="H100" s="4">
        <v>14</v>
      </c>
      <c r="I100" s="4">
        <v>251.62</v>
      </c>
      <c r="J100" s="4">
        <v>0.15</v>
      </c>
      <c r="K100" s="7">
        <v>2994.28</v>
      </c>
      <c r="L100" s="6" t="s">
        <v>19</v>
      </c>
      <c r="M100" s="6" t="s">
        <v>26</v>
      </c>
      <c r="N100" s="7">
        <f>Table13[[#This Row],[Quantity]]*Table13[[#This Row],[UnitPrice]]*(1-Table13[[#This Row],[Discount]])</f>
        <v>2994.2780000000002</v>
      </c>
    </row>
    <row r="101" spans="1:14" hidden="1" x14ac:dyDescent="0.35">
      <c r="A101" s="8">
        <v>1075</v>
      </c>
      <c r="B101" s="2">
        <v>45831</v>
      </c>
      <c r="C101" t="s">
        <v>14</v>
      </c>
      <c r="D101" t="s">
        <v>47</v>
      </c>
      <c r="E101" t="s">
        <v>92</v>
      </c>
      <c r="F101" t="s">
        <v>24</v>
      </c>
      <c r="G101" t="s">
        <v>25</v>
      </c>
      <c r="H101" s="8">
        <v>1</v>
      </c>
      <c r="I101" s="8">
        <v>635.97</v>
      </c>
      <c r="J101" s="8">
        <v>0.15</v>
      </c>
      <c r="K101" s="3">
        <v>540.57000000000005</v>
      </c>
      <c r="L101" t="s">
        <v>35</v>
      </c>
      <c r="M101" t="s">
        <v>20</v>
      </c>
      <c r="N101" s="3">
        <f>Table13[[#This Row],[Quantity]]*Table13[[#This Row],[UnitPrice]]*(1-Table13[[#This Row],[Discount]])</f>
        <v>540.57450000000006</v>
      </c>
    </row>
    <row r="102" spans="1:14" hidden="1" x14ac:dyDescent="0.35">
      <c r="A102" s="8">
        <v>1212</v>
      </c>
      <c r="B102" s="2">
        <v>45834</v>
      </c>
      <c r="C102" t="s">
        <v>21</v>
      </c>
      <c r="D102" t="s">
        <v>15</v>
      </c>
      <c r="E102" t="s">
        <v>101</v>
      </c>
      <c r="F102" t="s">
        <v>17</v>
      </c>
      <c r="G102" t="s">
        <v>46</v>
      </c>
      <c r="H102" s="8">
        <v>9</v>
      </c>
      <c r="I102" s="8">
        <v>237.52</v>
      </c>
      <c r="J102" s="8">
        <v>0.1</v>
      </c>
      <c r="K102" s="3">
        <v>1923.91</v>
      </c>
      <c r="L102" t="s">
        <v>35</v>
      </c>
      <c r="M102" t="s">
        <v>20</v>
      </c>
      <c r="N102" s="3">
        <f>Table13[[#This Row],[Quantity]]*Table13[[#This Row],[UnitPrice]]*(1-Table13[[#This Row],[Discount]])</f>
        <v>1923.9120000000003</v>
      </c>
    </row>
    <row r="103" spans="1:14" x14ac:dyDescent="0.35">
      <c r="A103" s="4">
        <v>1091</v>
      </c>
      <c r="B103" s="5">
        <v>45842</v>
      </c>
      <c r="C103" s="6" t="s">
        <v>43</v>
      </c>
      <c r="D103" s="6" t="s">
        <v>54</v>
      </c>
      <c r="E103" s="6" t="s">
        <v>102</v>
      </c>
      <c r="F103" s="6" t="s">
        <v>17</v>
      </c>
      <c r="G103" s="6" t="s">
        <v>46</v>
      </c>
      <c r="H103" s="4">
        <v>10</v>
      </c>
      <c r="I103" s="4">
        <v>217.83</v>
      </c>
      <c r="J103" s="4">
        <v>0.05</v>
      </c>
      <c r="K103" s="7">
        <v>2069.39</v>
      </c>
      <c r="L103" s="6" t="s">
        <v>39</v>
      </c>
      <c r="M103" s="6" t="s">
        <v>20</v>
      </c>
      <c r="N103" s="7">
        <f>Table13[[#This Row],[Quantity]]*Table13[[#This Row],[UnitPrice]]*(1-Table13[[#This Row],[Discount]])</f>
        <v>2069.3850000000002</v>
      </c>
    </row>
    <row r="104" spans="1:14" hidden="1" x14ac:dyDescent="0.35">
      <c r="A104" s="8">
        <v>1203</v>
      </c>
      <c r="B104" s="2">
        <v>45843</v>
      </c>
      <c r="C104" t="s">
        <v>27</v>
      </c>
      <c r="D104" t="s">
        <v>15</v>
      </c>
      <c r="E104" t="s">
        <v>95</v>
      </c>
      <c r="F104" t="s">
        <v>24</v>
      </c>
      <c r="G104" t="s">
        <v>38</v>
      </c>
      <c r="H104" s="8">
        <v>3</v>
      </c>
      <c r="I104" s="8">
        <v>872.67</v>
      </c>
      <c r="J104" s="8">
        <v>0.15</v>
      </c>
      <c r="K104" s="3">
        <v>2225.31</v>
      </c>
      <c r="L104" t="s">
        <v>39</v>
      </c>
      <c r="M104" t="s">
        <v>36</v>
      </c>
      <c r="N104" s="3">
        <f>Table13[[#This Row],[Quantity]]*Table13[[#This Row],[UnitPrice]]*(1-Table13[[#This Row],[Discount]])</f>
        <v>2225.3084999999996</v>
      </c>
    </row>
    <row r="105" spans="1:14" x14ac:dyDescent="0.35">
      <c r="A105" s="4">
        <v>1168</v>
      </c>
      <c r="B105" s="5">
        <v>45846</v>
      </c>
      <c r="C105" s="6" t="s">
        <v>43</v>
      </c>
      <c r="D105" s="6" t="s">
        <v>28</v>
      </c>
      <c r="E105" s="6" t="s">
        <v>64</v>
      </c>
      <c r="F105" s="6" t="s">
        <v>17</v>
      </c>
      <c r="G105" s="6" t="s">
        <v>46</v>
      </c>
      <c r="H105" s="4">
        <v>10</v>
      </c>
      <c r="I105" s="4">
        <v>88.83</v>
      </c>
      <c r="J105" s="4">
        <v>0</v>
      </c>
      <c r="K105" s="7">
        <v>888.3</v>
      </c>
      <c r="L105" s="6" t="s">
        <v>39</v>
      </c>
      <c r="M105" s="6" t="s">
        <v>20</v>
      </c>
      <c r="N105" s="7">
        <f>Table13[[#This Row],[Quantity]]*Table13[[#This Row],[UnitPrice]]*(1-Table13[[#This Row],[Discount]])</f>
        <v>888.3</v>
      </c>
    </row>
    <row r="106" spans="1:14" hidden="1" x14ac:dyDescent="0.35">
      <c r="A106" s="8">
        <v>1231</v>
      </c>
      <c r="B106" s="2">
        <v>45847</v>
      </c>
      <c r="C106" t="s">
        <v>27</v>
      </c>
      <c r="D106" t="s">
        <v>15</v>
      </c>
      <c r="E106" t="s">
        <v>49</v>
      </c>
      <c r="F106" t="s">
        <v>24</v>
      </c>
      <c r="G106" t="s">
        <v>25</v>
      </c>
      <c r="H106" s="8">
        <v>2</v>
      </c>
      <c r="I106" s="8">
        <v>861.52</v>
      </c>
      <c r="J106" s="8">
        <v>0.15</v>
      </c>
      <c r="K106" s="3">
        <v>1464.58</v>
      </c>
      <c r="L106" t="s">
        <v>39</v>
      </c>
      <c r="M106" t="s">
        <v>36</v>
      </c>
      <c r="N106" s="3">
        <f>Table13[[#This Row],[Quantity]]*Table13[[#This Row],[UnitPrice]]*(1-Table13[[#This Row],[Discount]])</f>
        <v>1464.5839999999998</v>
      </c>
    </row>
    <row r="107" spans="1:14" hidden="1" x14ac:dyDescent="0.35">
      <c r="A107" s="8">
        <v>1108</v>
      </c>
      <c r="B107" s="2">
        <v>45849</v>
      </c>
      <c r="C107" t="s">
        <v>14</v>
      </c>
      <c r="D107" t="s">
        <v>54</v>
      </c>
      <c r="E107" t="s">
        <v>100</v>
      </c>
      <c r="F107" t="s">
        <v>17</v>
      </c>
      <c r="G107" t="s">
        <v>18</v>
      </c>
      <c r="H107" s="8">
        <v>6</v>
      </c>
      <c r="I107" s="8">
        <v>218.18</v>
      </c>
      <c r="J107" s="8">
        <v>0.05</v>
      </c>
      <c r="K107" s="3">
        <v>1243.6300000000001</v>
      </c>
      <c r="L107" t="s">
        <v>19</v>
      </c>
      <c r="M107" t="s">
        <v>26</v>
      </c>
      <c r="N107" s="3">
        <f>Table13[[#This Row],[Quantity]]*Table13[[#This Row],[UnitPrice]]*(1-Table13[[#This Row],[Discount]])</f>
        <v>1243.626</v>
      </c>
    </row>
    <row r="108" spans="1:14" x14ac:dyDescent="0.35">
      <c r="A108" s="4">
        <v>1030</v>
      </c>
      <c r="B108" s="5">
        <v>45849</v>
      </c>
      <c r="C108" s="6" t="s">
        <v>43</v>
      </c>
      <c r="D108" s="6" t="s">
        <v>22</v>
      </c>
      <c r="E108" s="6" t="s">
        <v>103</v>
      </c>
      <c r="F108" s="6" t="s">
        <v>17</v>
      </c>
      <c r="G108" s="6" t="s">
        <v>46</v>
      </c>
      <c r="H108" s="4">
        <v>2</v>
      </c>
      <c r="I108" s="4">
        <v>133.96</v>
      </c>
      <c r="J108" s="4">
        <v>0.15</v>
      </c>
      <c r="K108" s="7">
        <v>227.73</v>
      </c>
      <c r="L108" s="6" t="s">
        <v>35</v>
      </c>
      <c r="M108" s="6" t="s">
        <v>36</v>
      </c>
      <c r="N108" s="7">
        <f>Table13[[#This Row],[Quantity]]*Table13[[#This Row],[UnitPrice]]*(1-Table13[[#This Row],[Discount]])</f>
        <v>227.732</v>
      </c>
    </row>
    <row r="109" spans="1:14" x14ac:dyDescent="0.35">
      <c r="A109" s="4">
        <v>1240</v>
      </c>
      <c r="B109" s="5">
        <v>45850</v>
      </c>
      <c r="C109" s="6" t="s">
        <v>43</v>
      </c>
      <c r="D109" s="6" t="s">
        <v>28</v>
      </c>
      <c r="E109" s="6" t="s">
        <v>32</v>
      </c>
      <c r="F109" s="6" t="s">
        <v>17</v>
      </c>
      <c r="G109" s="6" t="s">
        <v>46</v>
      </c>
      <c r="H109" s="4">
        <v>9</v>
      </c>
      <c r="I109" s="4">
        <v>904.81</v>
      </c>
      <c r="J109" s="4">
        <v>0.05</v>
      </c>
      <c r="K109" s="7">
        <v>7736.13</v>
      </c>
      <c r="L109" s="6" t="s">
        <v>35</v>
      </c>
      <c r="M109" s="6" t="s">
        <v>26</v>
      </c>
      <c r="N109" s="7">
        <f>Table13[[#This Row],[Quantity]]*Table13[[#This Row],[UnitPrice]]*(1-Table13[[#This Row],[Discount]])</f>
        <v>7736.1254999999992</v>
      </c>
    </row>
    <row r="110" spans="1:14" hidden="1" x14ac:dyDescent="0.35">
      <c r="A110" s="8">
        <v>1172</v>
      </c>
      <c r="B110" s="2">
        <v>45852</v>
      </c>
      <c r="C110" t="s">
        <v>27</v>
      </c>
      <c r="D110" t="s">
        <v>22</v>
      </c>
      <c r="E110" t="s">
        <v>65</v>
      </c>
      <c r="F110" t="s">
        <v>33</v>
      </c>
      <c r="G110" t="s">
        <v>61</v>
      </c>
      <c r="H110" s="8">
        <v>6</v>
      </c>
      <c r="I110" s="8">
        <v>373.19</v>
      </c>
      <c r="J110" s="8">
        <v>0</v>
      </c>
      <c r="K110" s="3">
        <v>2239.14</v>
      </c>
      <c r="L110" t="s">
        <v>19</v>
      </c>
      <c r="M110" t="s">
        <v>36</v>
      </c>
      <c r="N110" s="3">
        <f>Table13[[#This Row],[Quantity]]*Table13[[#This Row],[UnitPrice]]*(1-Table13[[#This Row],[Discount]])</f>
        <v>2239.14</v>
      </c>
    </row>
    <row r="111" spans="1:14" hidden="1" x14ac:dyDescent="0.35">
      <c r="A111" s="8">
        <v>1201</v>
      </c>
      <c r="B111" s="2">
        <v>45852</v>
      </c>
      <c r="C111" t="s">
        <v>27</v>
      </c>
      <c r="D111" t="s">
        <v>22</v>
      </c>
      <c r="E111" t="s">
        <v>75</v>
      </c>
      <c r="F111" t="s">
        <v>24</v>
      </c>
      <c r="G111" t="s">
        <v>63</v>
      </c>
      <c r="H111" s="8">
        <v>7</v>
      </c>
      <c r="I111" s="8">
        <v>143.31</v>
      </c>
      <c r="J111" s="8">
        <v>0.1</v>
      </c>
      <c r="K111" s="3">
        <v>902.85</v>
      </c>
      <c r="L111" t="s">
        <v>19</v>
      </c>
      <c r="M111" t="s">
        <v>20</v>
      </c>
      <c r="N111" s="3">
        <f>Table13[[#This Row],[Quantity]]*Table13[[#This Row],[UnitPrice]]*(1-Table13[[#This Row],[Discount]])</f>
        <v>902.85300000000007</v>
      </c>
    </row>
    <row r="112" spans="1:14" hidden="1" x14ac:dyDescent="0.35">
      <c r="A112" s="8">
        <v>1086</v>
      </c>
      <c r="B112" s="2">
        <v>45857</v>
      </c>
      <c r="C112" t="s">
        <v>27</v>
      </c>
      <c r="D112" t="s">
        <v>15</v>
      </c>
      <c r="E112" t="s">
        <v>77</v>
      </c>
      <c r="F112" t="s">
        <v>17</v>
      </c>
      <c r="G112" t="s">
        <v>18</v>
      </c>
      <c r="H112" s="8">
        <v>13</v>
      </c>
      <c r="I112" s="8">
        <v>1182.2</v>
      </c>
      <c r="J112" s="8">
        <v>0.15</v>
      </c>
      <c r="K112" s="3">
        <v>13063.31</v>
      </c>
      <c r="L112" t="s">
        <v>39</v>
      </c>
      <c r="M112" t="s">
        <v>26</v>
      </c>
      <c r="N112" s="3">
        <f>Table13[[#This Row],[Quantity]]*Table13[[#This Row],[UnitPrice]]*(1-Table13[[#This Row],[Discount]])</f>
        <v>13063.31</v>
      </c>
    </row>
    <row r="113" spans="1:14" x14ac:dyDescent="0.35">
      <c r="A113" s="4">
        <v>1072</v>
      </c>
      <c r="B113" s="5">
        <v>45858</v>
      </c>
      <c r="C113" s="6" t="s">
        <v>43</v>
      </c>
      <c r="D113" s="6" t="s">
        <v>22</v>
      </c>
      <c r="E113" s="6" t="s">
        <v>81</v>
      </c>
      <c r="F113" s="6" t="s">
        <v>24</v>
      </c>
      <c r="G113" s="6" t="s">
        <v>25</v>
      </c>
      <c r="H113" s="4">
        <v>2</v>
      </c>
      <c r="I113" s="4">
        <v>680.25</v>
      </c>
      <c r="J113" s="4">
        <v>0.05</v>
      </c>
      <c r="K113" s="7">
        <v>1292.47</v>
      </c>
      <c r="L113" s="6" t="s">
        <v>19</v>
      </c>
      <c r="M113" s="6" t="s">
        <v>36</v>
      </c>
      <c r="N113" s="7">
        <f>Table13[[#This Row],[Quantity]]*Table13[[#This Row],[UnitPrice]]*(1-Table13[[#This Row],[Discount]])</f>
        <v>1292.4749999999999</v>
      </c>
    </row>
    <row r="114" spans="1:14" hidden="1" x14ac:dyDescent="0.35">
      <c r="A114" s="8">
        <v>1298</v>
      </c>
      <c r="B114" s="2">
        <v>45861</v>
      </c>
      <c r="C114" t="s">
        <v>21</v>
      </c>
      <c r="D114" t="s">
        <v>22</v>
      </c>
      <c r="E114" t="s">
        <v>72</v>
      </c>
      <c r="F114" t="s">
        <v>33</v>
      </c>
      <c r="G114" t="s">
        <v>61</v>
      </c>
      <c r="H114" s="8">
        <v>8</v>
      </c>
      <c r="I114" s="8">
        <v>252.2</v>
      </c>
      <c r="J114" s="8">
        <v>0</v>
      </c>
      <c r="K114" s="3">
        <v>2017.6</v>
      </c>
      <c r="L114" t="s">
        <v>35</v>
      </c>
      <c r="M114" t="s">
        <v>20</v>
      </c>
      <c r="N114" s="3">
        <f>Table13[[#This Row],[Quantity]]*Table13[[#This Row],[UnitPrice]]*(1-Table13[[#This Row],[Discount]])</f>
        <v>2017.6</v>
      </c>
    </row>
    <row r="115" spans="1:14" hidden="1" x14ac:dyDescent="0.35">
      <c r="A115" s="8">
        <v>1066</v>
      </c>
      <c r="B115" s="2">
        <v>45861</v>
      </c>
      <c r="C115" t="s">
        <v>21</v>
      </c>
      <c r="D115" t="s">
        <v>31</v>
      </c>
      <c r="E115" t="s">
        <v>69</v>
      </c>
      <c r="F115" t="s">
        <v>33</v>
      </c>
      <c r="G115" t="s">
        <v>61</v>
      </c>
      <c r="H115" s="8">
        <v>4</v>
      </c>
      <c r="I115" s="8">
        <v>234.87</v>
      </c>
      <c r="J115" s="8">
        <v>0</v>
      </c>
      <c r="K115" s="3">
        <v>939.48</v>
      </c>
      <c r="L115" t="s">
        <v>19</v>
      </c>
      <c r="M115" t="s">
        <v>36</v>
      </c>
      <c r="N115" s="3">
        <f>Table13[[#This Row],[Quantity]]*Table13[[#This Row],[UnitPrice]]*(1-Table13[[#This Row],[Discount]])</f>
        <v>939.48</v>
      </c>
    </row>
    <row r="116" spans="1:14" hidden="1" x14ac:dyDescent="0.35">
      <c r="A116" s="8">
        <v>1036</v>
      </c>
      <c r="B116" s="2">
        <v>45862</v>
      </c>
      <c r="C116" t="s">
        <v>14</v>
      </c>
      <c r="D116" t="s">
        <v>31</v>
      </c>
      <c r="E116" t="s">
        <v>99</v>
      </c>
      <c r="F116" t="s">
        <v>17</v>
      </c>
      <c r="G116" t="s">
        <v>46</v>
      </c>
      <c r="H116" s="8">
        <v>15</v>
      </c>
      <c r="I116" s="8">
        <v>523.6</v>
      </c>
      <c r="J116" s="8">
        <v>0.05</v>
      </c>
      <c r="K116" s="3">
        <v>7461.3</v>
      </c>
      <c r="L116" t="s">
        <v>35</v>
      </c>
      <c r="M116" t="s">
        <v>20</v>
      </c>
      <c r="N116" s="3">
        <f>Table13[[#This Row],[Quantity]]*Table13[[#This Row],[UnitPrice]]*(1-Table13[[#This Row],[Discount]])</f>
        <v>7461.2999999999993</v>
      </c>
    </row>
    <row r="117" spans="1:14" hidden="1" x14ac:dyDescent="0.35">
      <c r="A117" s="8">
        <v>1037</v>
      </c>
      <c r="B117" s="2">
        <v>45864</v>
      </c>
      <c r="C117" t="s">
        <v>21</v>
      </c>
      <c r="D117" t="s">
        <v>28</v>
      </c>
      <c r="E117" t="s">
        <v>104</v>
      </c>
      <c r="F117" t="s">
        <v>33</v>
      </c>
      <c r="G117" t="s">
        <v>34</v>
      </c>
      <c r="H117" s="8">
        <v>12</v>
      </c>
      <c r="I117" s="8">
        <v>922.9</v>
      </c>
      <c r="J117" s="8">
        <v>0.15</v>
      </c>
      <c r="K117" s="3">
        <v>9413.58</v>
      </c>
      <c r="L117" t="s">
        <v>35</v>
      </c>
      <c r="M117" t="s">
        <v>26</v>
      </c>
      <c r="N117" s="3">
        <f>Table13[[#This Row],[Quantity]]*Table13[[#This Row],[UnitPrice]]*(1-Table13[[#This Row],[Discount]])</f>
        <v>9413.58</v>
      </c>
    </row>
    <row r="118" spans="1:14" x14ac:dyDescent="0.35">
      <c r="A118" s="4">
        <v>1062</v>
      </c>
      <c r="B118" s="5">
        <v>45864</v>
      </c>
      <c r="C118" s="6" t="s">
        <v>43</v>
      </c>
      <c r="D118" s="6" t="s">
        <v>15</v>
      </c>
      <c r="E118" s="6" t="s">
        <v>79</v>
      </c>
      <c r="F118" s="6" t="s">
        <v>24</v>
      </c>
      <c r="G118" s="6" t="s">
        <v>38</v>
      </c>
      <c r="H118" s="4">
        <v>11</v>
      </c>
      <c r="I118" s="4">
        <v>348.91</v>
      </c>
      <c r="J118" s="4">
        <v>0.1</v>
      </c>
      <c r="K118" s="7">
        <v>3454.21</v>
      </c>
      <c r="L118" s="6" t="s">
        <v>39</v>
      </c>
      <c r="M118" s="6" t="s">
        <v>36</v>
      </c>
      <c r="N118" s="7">
        <f>Table13[[#This Row],[Quantity]]*Table13[[#This Row],[UnitPrice]]*(1-Table13[[#This Row],[Discount]])</f>
        <v>3454.2090000000003</v>
      </c>
    </row>
    <row r="119" spans="1:14" x14ac:dyDescent="0.35">
      <c r="A119" s="4">
        <v>1219</v>
      </c>
      <c r="B119" s="5">
        <v>45866</v>
      </c>
      <c r="C119" s="6" t="s">
        <v>43</v>
      </c>
      <c r="D119" s="6" t="s">
        <v>28</v>
      </c>
      <c r="E119" s="6" t="s">
        <v>87</v>
      </c>
      <c r="F119" s="6" t="s">
        <v>17</v>
      </c>
      <c r="G119" s="6" t="s">
        <v>30</v>
      </c>
      <c r="H119" s="4">
        <v>10</v>
      </c>
      <c r="I119" s="4">
        <v>364.63</v>
      </c>
      <c r="J119" s="4">
        <v>0.1</v>
      </c>
      <c r="K119" s="7">
        <v>3281.67</v>
      </c>
      <c r="L119" s="6" t="s">
        <v>19</v>
      </c>
      <c r="M119" s="6" t="s">
        <v>36</v>
      </c>
      <c r="N119" s="7">
        <f>Table13[[#This Row],[Quantity]]*Table13[[#This Row],[UnitPrice]]*(1-Table13[[#This Row],[Discount]])</f>
        <v>3281.67</v>
      </c>
    </row>
    <row r="120" spans="1:14" x14ac:dyDescent="0.35">
      <c r="A120" s="4">
        <v>1064</v>
      </c>
      <c r="B120" s="5">
        <v>45867</v>
      </c>
      <c r="C120" s="6" t="s">
        <v>43</v>
      </c>
      <c r="D120" s="6" t="s">
        <v>22</v>
      </c>
      <c r="E120" s="6" t="s">
        <v>98</v>
      </c>
      <c r="F120" s="6" t="s">
        <v>17</v>
      </c>
      <c r="G120" s="6" t="s">
        <v>30</v>
      </c>
      <c r="H120" s="4">
        <v>11</v>
      </c>
      <c r="I120" s="4">
        <v>270.94</v>
      </c>
      <c r="J120" s="4">
        <v>0.1</v>
      </c>
      <c r="K120" s="7">
        <v>2682.31</v>
      </c>
      <c r="L120" s="6" t="s">
        <v>19</v>
      </c>
      <c r="M120" s="6" t="s">
        <v>20</v>
      </c>
      <c r="N120" s="7">
        <f>Table13[[#This Row],[Quantity]]*Table13[[#This Row],[UnitPrice]]*(1-Table13[[#This Row],[Discount]])</f>
        <v>2682.306</v>
      </c>
    </row>
    <row r="121" spans="1:14" x14ac:dyDescent="0.35">
      <c r="A121" s="4">
        <v>1193</v>
      </c>
      <c r="B121" s="5">
        <v>45869</v>
      </c>
      <c r="C121" s="6" t="s">
        <v>43</v>
      </c>
      <c r="D121" s="6" t="s">
        <v>28</v>
      </c>
      <c r="E121" s="6" t="s">
        <v>79</v>
      </c>
      <c r="F121" s="6" t="s">
        <v>24</v>
      </c>
      <c r="G121" s="6" t="s">
        <v>25</v>
      </c>
      <c r="H121" s="4">
        <v>11</v>
      </c>
      <c r="I121" s="4">
        <v>1158.05</v>
      </c>
      <c r="J121" s="4">
        <v>0</v>
      </c>
      <c r="K121" s="7">
        <v>12738.55</v>
      </c>
      <c r="L121" s="6" t="s">
        <v>19</v>
      </c>
      <c r="M121" s="6" t="s">
        <v>36</v>
      </c>
      <c r="N121" s="7">
        <f>Table13[[#This Row],[Quantity]]*Table13[[#This Row],[UnitPrice]]*(1-Table13[[#This Row],[Discount]])</f>
        <v>12738.55</v>
      </c>
    </row>
    <row r="122" spans="1:14" hidden="1" x14ac:dyDescent="0.35">
      <c r="A122" s="8">
        <v>1287</v>
      </c>
      <c r="B122" s="2">
        <v>45871</v>
      </c>
      <c r="C122" t="s">
        <v>27</v>
      </c>
      <c r="D122" t="s">
        <v>47</v>
      </c>
      <c r="E122" t="s">
        <v>64</v>
      </c>
      <c r="F122" t="s">
        <v>24</v>
      </c>
      <c r="G122" t="s">
        <v>25</v>
      </c>
      <c r="H122" s="8">
        <v>15</v>
      </c>
      <c r="I122" s="8">
        <v>265.45999999999998</v>
      </c>
      <c r="J122" s="8">
        <v>0.15</v>
      </c>
      <c r="K122" s="3">
        <v>3384.61</v>
      </c>
      <c r="L122" t="s">
        <v>19</v>
      </c>
      <c r="M122" t="s">
        <v>26</v>
      </c>
      <c r="N122" s="3">
        <f>Table13[[#This Row],[Quantity]]*Table13[[#This Row],[UnitPrice]]*(1-Table13[[#This Row],[Discount]])</f>
        <v>3384.6149999999998</v>
      </c>
    </row>
    <row r="123" spans="1:14" hidden="1" x14ac:dyDescent="0.35">
      <c r="A123" s="8">
        <v>1045</v>
      </c>
      <c r="B123" s="2">
        <v>45872</v>
      </c>
      <c r="C123" t="s">
        <v>14</v>
      </c>
      <c r="D123" t="s">
        <v>15</v>
      </c>
      <c r="E123" t="s">
        <v>90</v>
      </c>
      <c r="F123" t="s">
        <v>17</v>
      </c>
      <c r="G123" t="s">
        <v>30</v>
      </c>
      <c r="H123" s="8">
        <v>3</v>
      </c>
      <c r="I123" s="8">
        <v>806.63</v>
      </c>
      <c r="J123" s="8">
        <v>0.15</v>
      </c>
      <c r="K123" s="3">
        <v>2056.91</v>
      </c>
      <c r="L123" t="s">
        <v>39</v>
      </c>
      <c r="M123" t="s">
        <v>36</v>
      </c>
      <c r="N123" s="3">
        <f>Table13[[#This Row],[Quantity]]*Table13[[#This Row],[UnitPrice]]*(1-Table13[[#This Row],[Discount]])</f>
        <v>2056.9065000000001</v>
      </c>
    </row>
    <row r="124" spans="1:14" hidden="1" x14ac:dyDescent="0.35">
      <c r="A124" s="8">
        <v>1019</v>
      </c>
      <c r="B124" s="2">
        <v>45874</v>
      </c>
      <c r="C124" t="s">
        <v>21</v>
      </c>
      <c r="D124" t="s">
        <v>22</v>
      </c>
      <c r="E124" t="s">
        <v>66</v>
      </c>
      <c r="F124" t="s">
        <v>105</v>
      </c>
      <c r="G124" t="s">
        <v>63</v>
      </c>
      <c r="H124" s="8">
        <v>15</v>
      </c>
      <c r="I124" s="8">
        <v>196.38</v>
      </c>
      <c r="J124" s="8">
        <v>0.05</v>
      </c>
      <c r="K124" s="3">
        <v>2798.41</v>
      </c>
      <c r="L124" t="s">
        <v>39</v>
      </c>
      <c r="M124" t="s">
        <v>26</v>
      </c>
      <c r="N124" s="3">
        <f>Table13[[#This Row],[Quantity]]*Table13[[#This Row],[UnitPrice]]*(1-Table13[[#This Row],[Discount]])</f>
        <v>2798.4149999999995</v>
      </c>
    </row>
    <row r="125" spans="1:14" hidden="1" x14ac:dyDescent="0.35">
      <c r="A125" s="8">
        <v>1156</v>
      </c>
      <c r="B125" s="2">
        <v>45875</v>
      </c>
      <c r="C125" t="s">
        <v>21</v>
      </c>
      <c r="D125" t="s">
        <v>47</v>
      </c>
      <c r="E125" t="s">
        <v>79</v>
      </c>
      <c r="F125" t="s">
        <v>33</v>
      </c>
      <c r="G125" t="s">
        <v>53</v>
      </c>
      <c r="H125" s="8">
        <v>9</v>
      </c>
      <c r="I125" s="8">
        <v>227.95</v>
      </c>
      <c r="J125" s="8">
        <v>0</v>
      </c>
      <c r="K125" s="3">
        <v>2051.5500000000002</v>
      </c>
      <c r="L125" t="s">
        <v>19</v>
      </c>
      <c r="M125" t="s">
        <v>20</v>
      </c>
      <c r="N125" s="3">
        <f>Table13[[#This Row],[Quantity]]*Table13[[#This Row],[UnitPrice]]*(1-Table13[[#This Row],[Discount]])</f>
        <v>2051.5499999999997</v>
      </c>
    </row>
    <row r="126" spans="1:14" x14ac:dyDescent="0.35">
      <c r="A126" s="4">
        <v>1285</v>
      </c>
      <c r="B126" s="5">
        <v>45875</v>
      </c>
      <c r="C126" s="6" t="s">
        <v>43</v>
      </c>
      <c r="D126" s="6" t="s">
        <v>47</v>
      </c>
      <c r="E126" s="6" t="s">
        <v>100</v>
      </c>
      <c r="F126" s="6" t="s">
        <v>24</v>
      </c>
      <c r="G126" s="6" t="s">
        <v>38</v>
      </c>
      <c r="H126" s="4">
        <v>9</v>
      </c>
      <c r="I126" s="4">
        <v>215.53</v>
      </c>
      <c r="J126" s="4">
        <v>0.05</v>
      </c>
      <c r="K126" s="7">
        <v>1842.78</v>
      </c>
      <c r="L126" s="6" t="s">
        <v>19</v>
      </c>
      <c r="M126" s="6" t="s">
        <v>26</v>
      </c>
      <c r="N126" s="7">
        <f>Table13[[#This Row],[Quantity]]*Table13[[#This Row],[UnitPrice]]*(1-Table13[[#This Row],[Discount]])</f>
        <v>1842.7814999999998</v>
      </c>
    </row>
    <row r="127" spans="1:14" hidden="1" x14ac:dyDescent="0.35">
      <c r="A127" s="8">
        <v>1021</v>
      </c>
      <c r="B127" s="2">
        <v>45875</v>
      </c>
      <c r="C127" t="s">
        <v>14</v>
      </c>
      <c r="D127" t="s">
        <v>31</v>
      </c>
      <c r="E127" t="s">
        <v>16</v>
      </c>
      <c r="F127" t="s">
        <v>17</v>
      </c>
      <c r="G127" t="s">
        <v>30</v>
      </c>
      <c r="H127" s="8">
        <v>4</v>
      </c>
      <c r="I127" s="8">
        <v>13.57</v>
      </c>
      <c r="J127" s="8">
        <v>0.15</v>
      </c>
      <c r="K127" s="3">
        <v>46.14</v>
      </c>
      <c r="L127" t="s">
        <v>19</v>
      </c>
      <c r="M127" t="s">
        <v>20</v>
      </c>
      <c r="N127" s="3">
        <f>Table13[[#This Row],[Quantity]]*Table13[[#This Row],[UnitPrice]]*(1-Table13[[#This Row],[Discount]])</f>
        <v>46.137999999999998</v>
      </c>
    </row>
    <row r="128" spans="1:14" hidden="1" x14ac:dyDescent="0.35">
      <c r="A128" s="8">
        <v>1111</v>
      </c>
      <c r="B128" s="2">
        <v>45876</v>
      </c>
      <c r="C128" t="s">
        <v>21</v>
      </c>
      <c r="D128" t="s">
        <v>22</v>
      </c>
      <c r="E128" t="s">
        <v>96</v>
      </c>
      <c r="F128" t="s">
        <v>24</v>
      </c>
      <c r="G128" t="s">
        <v>63</v>
      </c>
      <c r="H128" s="8">
        <v>11</v>
      </c>
      <c r="I128" s="8">
        <v>520.44000000000005</v>
      </c>
      <c r="J128" s="8">
        <v>0</v>
      </c>
      <c r="K128" s="3">
        <v>5724.84</v>
      </c>
      <c r="L128" t="s">
        <v>39</v>
      </c>
      <c r="M128" t="s">
        <v>26</v>
      </c>
      <c r="N128" s="3">
        <f>Table13[[#This Row],[Quantity]]*Table13[[#This Row],[UnitPrice]]*(1-Table13[[#This Row],[Discount]])</f>
        <v>5724.84</v>
      </c>
    </row>
    <row r="129" spans="1:14" hidden="1" x14ac:dyDescent="0.35">
      <c r="A129" s="8">
        <v>1250</v>
      </c>
      <c r="B129" s="2">
        <v>45878</v>
      </c>
      <c r="C129" t="s">
        <v>14</v>
      </c>
      <c r="D129" t="s">
        <v>47</v>
      </c>
      <c r="E129" t="s">
        <v>95</v>
      </c>
      <c r="F129" t="s">
        <v>17</v>
      </c>
      <c r="G129" t="s">
        <v>30</v>
      </c>
      <c r="H129" s="8">
        <v>5</v>
      </c>
      <c r="I129" s="8">
        <v>527.46</v>
      </c>
      <c r="J129" s="8">
        <v>0.05</v>
      </c>
      <c r="K129" s="3">
        <v>2505.4299999999998</v>
      </c>
      <c r="L129" t="s">
        <v>35</v>
      </c>
      <c r="M129" t="s">
        <v>36</v>
      </c>
      <c r="N129" s="3">
        <f>Table13[[#This Row],[Quantity]]*Table13[[#This Row],[UnitPrice]]*(1-Table13[[#This Row],[Discount]])</f>
        <v>2505.4349999999999</v>
      </c>
    </row>
    <row r="130" spans="1:14" hidden="1" x14ac:dyDescent="0.35">
      <c r="A130" s="8">
        <v>1132</v>
      </c>
      <c r="B130" s="2">
        <v>45879</v>
      </c>
      <c r="C130" t="s">
        <v>21</v>
      </c>
      <c r="D130" t="s">
        <v>22</v>
      </c>
      <c r="E130" t="s">
        <v>106</v>
      </c>
      <c r="F130" t="s">
        <v>24</v>
      </c>
      <c r="G130" t="s">
        <v>38</v>
      </c>
      <c r="H130" s="8">
        <v>10</v>
      </c>
      <c r="I130" s="8">
        <v>16.64</v>
      </c>
      <c r="J130" s="8">
        <v>0.15</v>
      </c>
      <c r="K130" s="3">
        <v>141.44</v>
      </c>
      <c r="L130" t="s">
        <v>35</v>
      </c>
      <c r="M130" t="s">
        <v>20</v>
      </c>
      <c r="N130" s="3">
        <f>Table13[[#This Row],[Quantity]]*Table13[[#This Row],[UnitPrice]]*(1-Table13[[#This Row],[Discount]])</f>
        <v>141.44</v>
      </c>
    </row>
    <row r="131" spans="1:14" x14ac:dyDescent="0.35">
      <c r="A131" s="4">
        <v>1114</v>
      </c>
      <c r="B131" s="5">
        <v>45881</v>
      </c>
      <c r="C131" s="6" t="s">
        <v>43</v>
      </c>
      <c r="D131" s="6" t="s">
        <v>22</v>
      </c>
      <c r="E131" s="6" t="s">
        <v>64</v>
      </c>
      <c r="F131" s="6" t="s">
        <v>24</v>
      </c>
      <c r="G131" s="6" t="s">
        <v>38</v>
      </c>
      <c r="H131" s="4">
        <v>13</v>
      </c>
      <c r="I131" s="4">
        <v>822.77</v>
      </c>
      <c r="J131" s="4">
        <v>0.1</v>
      </c>
      <c r="K131" s="7">
        <v>9626.41</v>
      </c>
      <c r="L131" s="6" t="s">
        <v>35</v>
      </c>
      <c r="M131" s="6" t="s">
        <v>20</v>
      </c>
      <c r="N131" s="7">
        <f>Table13[[#This Row],[Quantity]]*Table13[[#This Row],[UnitPrice]]*(1-Table13[[#This Row],[Discount]])</f>
        <v>9626.4089999999997</v>
      </c>
    </row>
    <row r="132" spans="1:14" hidden="1" x14ac:dyDescent="0.35">
      <c r="A132" s="8">
        <v>1218</v>
      </c>
      <c r="B132" s="2">
        <v>45889</v>
      </c>
      <c r="C132" t="s">
        <v>21</v>
      </c>
      <c r="D132" t="s">
        <v>28</v>
      </c>
      <c r="E132" t="s">
        <v>107</v>
      </c>
      <c r="F132" t="s">
        <v>17</v>
      </c>
      <c r="G132" t="s">
        <v>30</v>
      </c>
      <c r="H132" s="8">
        <v>12</v>
      </c>
      <c r="I132" s="8">
        <v>1039.67</v>
      </c>
      <c r="J132" s="8">
        <v>0.15</v>
      </c>
      <c r="K132" s="3">
        <v>10604.63</v>
      </c>
      <c r="L132" t="s">
        <v>39</v>
      </c>
      <c r="M132" t="s">
        <v>26</v>
      </c>
      <c r="N132" s="3">
        <f>Table13[[#This Row],[Quantity]]*Table13[[#This Row],[UnitPrice]]*(1-Table13[[#This Row],[Discount]])</f>
        <v>10604.634</v>
      </c>
    </row>
    <row r="133" spans="1:14" x14ac:dyDescent="0.35">
      <c r="A133" s="4">
        <v>1073</v>
      </c>
      <c r="B133" s="5">
        <v>45891</v>
      </c>
      <c r="C133" s="6" t="s">
        <v>43</v>
      </c>
      <c r="D133" s="6" t="s">
        <v>22</v>
      </c>
      <c r="E133" s="6" t="s">
        <v>88</v>
      </c>
      <c r="F133" s="6" t="s">
        <v>24</v>
      </c>
      <c r="G133" s="6" t="s">
        <v>25</v>
      </c>
      <c r="H133" s="4">
        <v>7</v>
      </c>
      <c r="I133" s="4">
        <v>916.63</v>
      </c>
      <c r="J133" s="4">
        <v>0.1</v>
      </c>
      <c r="K133" s="7">
        <v>5774.77</v>
      </c>
      <c r="L133" s="6" t="s">
        <v>19</v>
      </c>
      <c r="M133" s="6" t="s">
        <v>36</v>
      </c>
      <c r="N133" s="7">
        <f>Table13[[#This Row],[Quantity]]*Table13[[#This Row],[UnitPrice]]*(1-Table13[[#This Row],[Discount]])</f>
        <v>5774.7690000000002</v>
      </c>
    </row>
    <row r="134" spans="1:14" hidden="1" x14ac:dyDescent="0.35">
      <c r="A134" s="8">
        <v>1129</v>
      </c>
      <c r="B134" s="2">
        <v>45891</v>
      </c>
      <c r="C134" t="s">
        <v>27</v>
      </c>
      <c r="D134" t="s">
        <v>47</v>
      </c>
      <c r="E134" t="s">
        <v>41</v>
      </c>
      <c r="F134" t="s">
        <v>17</v>
      </c>
      <c r="G134" t="s">
        <v>18</v>
      </c>
      <c r="H134" s="8">
        <v>4</v>
      </c>
      <c r="I134" s="8">
        <v>974.87</v>
      </c>
      <c r="J134" s="8">
        <v>0.05</v>
      </c>
      <c r="K134" s="3">
        <v>3704.51</v>
      </c>
      <c r="L134" t="s">
        <v>39</v>
      </c>
      <c r="M134" t="s">
        <v>26</v>
      </c>
      <c r="N134" s="3">
        <f>Table13[[#This Row],[Quantity]]*Table13[[#This Row],[UnitPrice]]*(1-Table13[[#This Row],[Discount]])</f>
        <v>3704.5059999999999</v>
      </c>
    </row>
    <row r="135" spans="1:14" hidden="1" x14ac:dyDescent="0.35">
      <c r="A135" s="8">
        <v>1047</v>
      </c>
      <c r="B135" s="2">
        <v>45895</v>
      </c>
      <c r="C135" t="s">
        <v>21</v>
      </c>
      <c r="D135" t="s">
        <v>15</v>
      </c>
      <c r="E135" t="s">
        <v>98</v>
      </c>
      <c r="F135" t="s">
        <v>33</v>
      </c>
      <c r="G135" t="s">
        <v>34</v>
      </c>
      <c r="H135" s="8">
        <v>7</v>
      </c>
      <c r="I135" s="8">
        <v>712.82</v>
      </c>
      <c r="J135" s="8">
        <v>0.15</v>
      </c>
      <c r="K135" s="3">
        <v>4241.28</v>
      </c>
      <c r="L135" t="s">
        <v>35</v>
      </c>
      <c r="M135" t="s">
        <v>20</v>
      </c>
      <c r="N135" s="3">
        <f>Table13[[#This Row],[Quantity]]*Table13[[#This Row],[UnitPrice]]*(1-Table13[[#This Row],[Discount]])</f>
        <v>4241.2790000000005</v>
      </c>
    </row>
    <row r="136" spans="1:14" hidden="1" x14ac:dyDescent="0.35">
      <c r="A136" s="8">
        <v>1003</v>
      </c>
      <c r="B136" s="2">
        <v>45897</v>
      </c>
      <c r="C136" t="s">
        <v>27</v>
      </c>
      <c r="D136" t="s">
        <v>47</v>
      </c>
      <c r="E136" t="s">
        <v>108</v>
      </c>
      <c r="F136" t="s">
        <v>24</v>
      </c>
      <c r="G136" t="s">
        <v>25</v>
      </c>
      <c r="H136" s="8">
        <v>13</v>
      </c>
      <c r="I136" s="8">
        <v>1071.08</v>
      </c>
      <c r="J136" s="8">
        <v>0.1</v>
      </c>
      <c r="K136" s="3">
        <v>12531.64</v>
      </c>
      <c r="L136" t="s">
        <v>35</v>
      </c>
      <c r="M136" t="s">
        <v>26</v>
      </c>
      <c r="N136" s="3">
        <f>Table13[[#This Row],[Quantity]]*Table13[[#This Row],[UnitPrice]]*(1-Table13[[#This Row],[Discount]])</f>
        <v>12531.635999999999</v>
      </c>
    </row>
    <row r="137" spans="1:14" x14ac:dyDescent="0.35">
      <c r="A137" s="4">
        <v>1260</v>
      </c>
      <c r="B137" s="5">
        <v>45899</v>
      </c>
      <c r="C137" s="6" t="s">
        <v>43</v>
      </c>
      <c r="D137" s="6" t="s">
        <v>28</v>
      </c>
      <c r="E137" s="6" t="s">
        <v>23</v>
      </c>
      <c r="F137" s="6" t="s">
        <v>17</v>
      </c>
      <c r="G137" s="6" t="s">
        <v>46</v>
      </c>
      <c r="H137" s="4">
        <v>9</v>
      </c>
      <c r="I137" s="4">
        <v>927.94</v>
      </c>
      <c r="J137" s="4">
        <v>0.05</v>
      </c>
      <c r="K137" s="7">
        <v>7933.89</v>
      </c>
      <c r="L137" s="6" t="s">
        <v>19</v>
      </c>
      <c r="M137" s="6" t="s">
        <v>20</v>
      </c>
      <c r="N137" s="7">
        <f>Table13[[#This Row],[Quantity]]*Table13[[#This Row],[UnitPrice]]*(1-Table13[[#This Row],[Discount]])</f>
        <v>7933.8870000000006</v>
      </c>
    </row>
    <row r="138" spans="1:14" hidden="1" x14ac:dyDescent="0.35">
      <c r="A138" s="8">
        <v>1085</v>
      </c>
      <c r="B138" s="2">
        <v>45911</v>
      </c>
      <c r="C138" t="s">
        <v>21</v>
      </c>
      <c r="D138" t="s">
        <v>22</v>
      </c>
      <c r="E138" t="s">
        <v>109</v>
      </c>
      <c r="F138" t="s">
        <v>17</v>
      </c>
      <c r="G138" t="s">
        <v>18</v>
      </c>
      <c r="H138" s="8">
        <v>15</v>
      </c>
      <c r="I138" s="8">
        <v>1020.31</v>
      </c>
      <c r="J138" s="8">
        <v>0.15</v>
      </c>
      <c r="K138" s="3">
        <v>13008.95</v>
      </c>
      <c r="L138" t="s">
        <v>19</v>
      </c>
      <c r="M138" t="s">
        <v>36</v>
      </c>
      <c r="N138" s="3">
        <f>Table13[[#This Row],[Quantity]]*Table13[[#This Row],[UnitPrice]]*(1-Table13[[#This Row],[Discount]])</f>
        <v>13008.952499999999</v>
      </c>
    </row>
    <row r="139" spans="1:14" hidden="1" x14ac:dyDescent="0.35">
      <c r="A139" s="8">
        <v>1266</v>
      </c>
      <c r="B139" s="2">
        <v>45911</v>
      </c>
      <c r="C139" t="s">
        <v>14</v>
      </c>
      <c r="D139" t="s">
        <v>22</v>
      </c>
      <c r="E139" t="s">
        <v>76</v>
      </c>
      <c r="F139" t="s">
        <v>24</v>
      </c>
      <c r="G139" t="s">
        <v>63</v>
      </c>
      <c r="H139" s="8">
        <v>12</v>
      </c>
      <c r="I139" s="8">
        <v>420.63</v>
      </c>
      <c r="J139" s="8">
        <v>0.05</v>
      </c>
      <c r="K139" s="3">
        <v>4795.18</v>
      </c>
      <c r="L139" t="s">
        <v>35</v>
      </c>
      <c r="M139" t="s">
        <v>26</v>
      </c>
      <c r="N139" s="3">
        <f>Table13[[#This Row],[Quantity]]*Table13[[#This Row],[UnitPrice]]*(1-Table13[[#This Row],[Discount]])</f>
        <v>4795.1819999999989</v>
      </c>
    </row>
    <row r="140" spans="1:14" hidden="1" x14ac:dyDescent="0.35">
      <c r="A140" s="8">
        <v>1214</v>
      </c>
      <c r="B140" s="2">
        <v>45914</v>
      </c>
      <c r="C140" t="s">
        <v>21</v>
      </c>
      <c r="D140" t="s">
        <v>31</v>
      </c>
      <c r="E140" t="s">
        <v>91</v>
      </c>
      <c r="F140" t="s">
        <v>33</v>
      </c>
      <c r="G140" t="s">
        <v>34</v>
      </c>
      <c r="H140" s="8">
        <v>8</v>
      </c>
      <c r="I140" s="8">
        <v>238.51</v>
      </c>
      <c r="J140" s="8">
        <v>0.05</v>
      </c>
      <c r="K140" s="3">
        <v>1812.68</v>
      </c>
      <c r="L140" t="s">
        <v>35</v>
      </c>
      <c r="M140" t="s">
        <v>20</v>
      </c>
      <c r="N140" s="3">
        <f>Table13[[#This Row],[Quantity]]*Table13[[#This Row],[UnitPrice]]*(1-Table13[[#This Row],[Discount]])</f>
        <v>1812.6759999999999</v>
      </c>
    </row>
    <row r="141" spans="1:14" x14ac:dyDescent="0.35">
      <c r="A141" s="4">
        <v>1223</v>
      </c>
      <c r="B141" s="5">
        <v>45915</v>
      </c>
      <c r="C141" s="6" t="s">
        <v>43</v>
      </c>
      <c r="D141" s="6" t="s">
        <v>54</v>
      </c>
      <c r="E141" s="6" t="s">
        <v>74</v>
      </c>
      <c r="F141" s="6" t="s">
        <v>17</v>
      </c>
      <c r="G141" s="6" t="s">
        <v>30</v>
      </c>
      <c r="H141" s="4">
        <v>3</v>
      </c>
      <c r="I141" s="4">
        <v>271.01</v>
      </c>
      <c r="J141" s="4">
        <v>0.1</v>
      </c>
      <c r="K141" s="7">
        <v>731.73</v>
      </c>
      <c r="L141" s="6" t="s">
        <v>39</v>
      </c>
      <c r="M141" s="6" t="s">
        <v>36</v>
      </c>
      <c r="N141" s="7">
        <f>Table13[[#This Row],[Quantity]]*Table13[[#This Row],[UnitPrice]]*(1-Table13[[#This Row],[Discount]])</f>
        <v>731.72699999999998</v>
      </c>
    </row>
    <row r="142" spans="1:14" hidden="1" x14ac:dyDescent="0.35">
      <c r="A142" s="8">
        <v>1007</v>
      </c>
      <c r="B142" s="2">
        <v>45916</v>
      </c>
      <c r="C142" t="s">
        <v>14</v>
      </c>
      <c r="D142" t="s">
        <v>47</v>
      </c>
      <c r="E142" t="s">
        <v>104</v>
      </c>
      <c r="F142" t="s">
        <v>24</v>
      </c>
      <c r="G142" t="s">
        <v>38</v>
      </c>
      <c r="H142" s="8">
        <v>10</v>
      </c>
      <c r="I142" s="8">
        <v>812.04</v>
      </c>
      <c r="J142" s="8">
        <v>0.1</v>
      </c>
      <c r="K142" s="3">
        <v>7308.36</v>
      </c>
      <c r="L142" t="s">
        <v>39</v>
      </c>
      <c r="M142" t="s">
        <v>20</v>
      </c>
      <c r="N142" s="3">
        <f>Table13[[#This Row],[Quantity]]*Table13[[#This Row],[UnitPrice]]*(1-Table13[[#This Row],[Discount]])</f>
        <v>7308.36</v>
      </c>
    </row>
    <row r="143" spans="1:14" hidden="1" x14ac:dyDescent="0.35">
      <c r="A143" s="8">
        <v>1118</v>
      </c>
      <c r="B143" s="2">
        <v>45916</v>
      </c>
      <c r="C143" t="s">
        <v>27</v>
      </c>
      <c r="D143" t="s">
        <v>15</v>
      </c>
      <c r="E143" t="s">
        <v>99</v>
      </c>
      <c r="F143" t="s">
        <v>17</v>
      </c>
      <c r="G143" t="s">
        <v>18</v>
      </c>
      <c r="H143" s="8">
        <v>14</v>
      </c>
      <c r="I143" s="8">
        <v>298.47000000000003</v>
      </c>
      <c r="J143" s="8">
        <v>0</v>
      </c>
      <c r="K143" s="3">
        <v>4178.58</v>
      </c>
      <c r="L143" t="s">
        <v>19</v>
      </c>
      <c r="M143" t="s">
        <v>20</v>
      </c>
      <c r="N143" s="3">
        <f>Table13[[#This Row],[Quantity]]*Table13[[#This Row],[UnitPrice]]*(1-Table13[[#This Row],[Discount]])</f>
        <v>4178.58</v>
      </c>
    </row>
    <row r="144" spans="1:14" x14ac:dyDescent="0.35">
      <c r="A144" s="4">
        <v>1169</v>
      </c>
      <c r="B144" s="5">
        <v>45916</v>
      </c>
      <c r="C144" s="6" t="s">
        <v>43</v>
      </c>
      <c r="D144" s="6" t="s">
        <v>15</v>
      </c>
      <c r="E144" s="6" t="s">
        <v>72</v>
      </c>
      <c r="F144" s="6" t="s">
        <v>24</v>
      </c>
      <c r="G144" s="6" t="s">
        <v>38</v>
      </c>
      <c r="H144" s="4">
        <v>3</v>
      </c>
      <c r="I144" s="4">
        <v>649.34</v>
      </c>
      <c r="J144" s="4">
        <v>0.05</v>
      </c>
      <c r="K144" s="7">
        <v>1850.62</v>
      </c>
      <c r="L144" s="6" t="s">
        <v>19</v>
      </c>
      <c r="M144" s="6" t="s">
        <v>20</v>
      </c>
      <c r="N144" s="7">
        <f>Table13[[#This Row],[Quantity]]*Table13[[#This Row],[UnitPrice]]*(1-Table13[[#This Row],[Discount]])</f>
        <v>1850.6189999999999</v>
      </c>
    </row>
    <row r="145" spans="1:14" hidden="1" x14ac:dyDescent="0.35">
      <c r="A145" s="8">
        <v>1206</v>
      </c>
      <c r="B145" s="2">
        <v>45917</v>
      </c>
      <c r="C145" t="s">
        <v>21</v>
      </c>
      <c r="D145" t="s">
        <v>28</v>
      </c>
      <c r="E145" t="s">
        <v>110</v>
      </c>
      <c r="F145" t="s">
        <v>24</v>
      </c>
      <c r="G145" t="s">
        <v>38</v>
      </c>
      <c r="H145" s="8">
        <v>2</v>
      </c>
      <c r="I145" s="8">
        <v>1097.76</v>
      </c>
      <c r="J145" s="8">
        <v>0.15</v>
      </c>
      <c r="K145" s="3">
        <v>1866.19</v>
      </c>
      <c r="L145" t="s">
        <v>39</v>
      </c>
      <c r="M145" t="s">
        <v>26</v>
      </c>
      <c r="N145" s="3">
        <f>Table13[[#This Row],[Quantity]]*Table13[[#This Row],[UnitPrice]]*(1-Table13[[#This Row],[Discount]])</f>
        <v>1866.192</v>
      </c>
    </row>
    <row r="146" spans="1:14" x14ac:dyDescent="0.35">
      <c r="A146" s="4">
        <v>1199</v>
      </c>
      <c r="B146" s="5">
        <v>45919</v>
      </c>
      <c r="C146" s="6" t="s">
        <v>43</v>
      </c>
      <c r="D146" s="6" t="s">
        <v>15</v>
      </c>
      <c r="E146" s="6" t="s">
        <v>111</v>
      </c>
      <c r="F146" s="6" t="s">
        <v>24</v>
      </c>
      <c r="G146" s="6" t="s">
        <v>38</v>
      </c>
      <c r="H146" s="4">
        <v>3</v>
      </c>
      <c r="I146" s="4">
        <v>1137.8900000000001</v>
      </c>
      <c r="J146" s="4">
        <v>0.1</v>
      </c>
      <c r="K146" s="7">
        <v>3072.3</v>
      </c>
      <c r="L146" s="6" t="s">
        <v>19</v>
      </c>
      <c r="M146" s="6" t="s">
        <v>36</v>
      </c>
      <c r="N146" s="7">
        <f>Table13[[#This Row],[Quantity]]*Table13[[#This Row],[UnitPrice]]*(1-Table13[[#This Row],[Discount]])</f>
        <v>3072.3030000000003</v>
      </c>
    </row>
    <row r="147" spans="1:14" hidden="1" x14ac:dyDescent="0.35">
      <c r="A147" s="8">
        <v>1015</v>
      </c>
      <c r="B147" s="2">
        <v>45920</v>
      </c>
      <c r="C147" t="s">
        <v>14</v>
      </c>
      <c r="D147" t="s">
        <v>47</v>
      </c>
      <c r="E147" t="s">
        <v>67</v>
      </c>
      <c r="F147" t="s">
        <v>33</v>
      </c>
      <c r="G147" t="s">
        <v>34</v>
      </c>
      <c r="H147" s="8">
        <v>2</v>
      </c>
      <c r="I147" s="8">
        <v>700.13</v>
      </c>
      <c r="J147" s="8">
        <v>0.05</v>
      </c>
      <c r="K147" s="3">
        <v>1330.25</v>
      </c>
      <c r="L147" t="s">
        <v>35</v>
      </c>
      <c r="M147" t="s">
        <v>36</v>
      </c>
      <c r="N147" s="3">
        <f>Table13[[#This Row],[Quantity]]*Table13[[#This Row],[UnitPrice]]*(1-Table13[[#This Row],[Discount]])</f>
        <v>1330.2469999999998</v>
      </c>
    </row>
    <row r="148" spans="1:14" hidden="1" x14ac:dyDescent="0.35">
      <c r="A148" s="8">
        <v>1189</v>
      </c>
      <c r="B148" s="2">
        <v>45923</v>
      </c>
      <c r="C148" t="s">
        <v>21</v>
      </c>
      <c r="D148" t="s">
        <v>47</v>
      </c>
      <c r="E148" t="s">
        <v>112</v>
      </c>
      <c r="F148" t="s">
        <v>17</v>
      </c>
      <c r="G148" t="s">
        <v>46</v>
      </c>
      <c r="H148" s="8">
        <v>13</v>
      </c>
      <c r="I148" s="8">
        <v>505.05</v>
      </c>
      <c r="J148" s="8">
        <v>0</v>
      </c>
      <c r="K148" s="3">
        <v>6565.65</v>
      </c>
      <c r="L148" t="s">
        <v>39</v>
      </c>
      <c r="M148" t="s">
        <v>36</v>
      </c>
      <c r="N148" s="3">
        <f>Table13[[#This Row],[Quantity]]*Table13[[#This Row],[UnitPrice]]*(1-Table13[[#This Row],[Discount]])</f>
        <v>6565.6500000000005</v>
      </c>
    </row>
    <row r="149" spans="1:14" hidden="1" x14ac:dyDescent="0.35">
      <c r="A149" s="8">
        <v>1267</v>
      </c>
      <c r="B149" s="2">
        <v>45924</v>
      </c>
      <c r="C149" t="s">
        <v>14</v>
      </c>
      <c r="D149" t="s">
        <v>54</v>
      </c>
      <c r="E149" t="s">
        <v>102</v>
      </c>
      <c r="F149" t="s">
        <v>17</v>
      </c>
      <c r="G149" t="s">
        <v>46</v>
      </c>
      <c r="H149" s="8">
        <v>10</v>
      </c>
      <c r="I149" s="8">
        <v>468.2</v>
      </c>
      <c r="J149" s="8">
        <v>0.15</v>
      </c>
      <c r="K149" s="3">
        <v>3979.7</v>
      </c>
      <c r="L149" t="s">
        <v>35</v>
      </c>
      <c r="M149" t="s">
        <v>36</v>
      </c>
      <c r="N149" s="3">
        <f>Table13[[#This Row],[Quantity]]*Table13[[#This Row],[UnitPrice]]*(1-Table13[[#This Row],[Discount]])</f>
        <v>3979.7</v>
      </c>
    </row>
    <row r="150" spans="1:14" hidden="1" x14ac:dyDescent="0.35">
      <c r="A150" s="8">
        <v>1197</v>
      </c>
      <c r="B150" s="2">
        <v>45925</v>
      </c>
      <c r="C150" t="s">
        <v>27</v>
      </c>
      <c r="D150" t="s">
        <v>31</v>
      </c>
      <c r="E150" t="s">
        <v>75</v>
      </c>
      <c r="F150" t="s">
        <v>33</v>
      </c>
      <c r="G150" t="s">
        <v>53</v>
      </c>
      <c r="H150" s="8">
        <v>3</v>
      </c>
      <c r="I150" s="8">
        <v>358.72</v>
      </c>
      <c r="J150" s="8">
        <v>0.05</v>
      </c>
      <c r="K150" s="3">
        <v>1022.35</v>
      </c>
      <c r="L150" t="s">
        <v>39</v>
      </c>
      <c r="M150" t="s">
        <v>26</v>
      </c>
      <c r="N150" s="3">
        <f>Table13[[#This Row],[Quantity]]*Table13[[#This Row],[UnitPrice]]*(1-Table13[[#This Row],[Discount]])</f>
        <v>1022.352</v>
      </c>
    </row>
    <row r="151" spans="1:14" hidden="1" x14ac:dyDescent="0.35">
      <c r="A151" s="8">
        <v>1249</v>
      </c>
      <c r="B151" s="2">
        <v>45927</v>
      </c>
      <c r="C151" t="s">
        <v>21</v>
      </c>
      <c r="D151" t="s">
        <v>22</v>
      </c>
      <c r="E151" t="s">
        <v>113</v>
      </c>
      <c r="F151" t="s">
        <v>24</v>
      </c>
      <c r="G151" t="s">
        <v>38</v>
      </c>
      <c r="H151" s="8">
        <v>13</v>
      </c>
      <c r="I151" s="8">
        <v>339.22</v>
      </c>
      <c r="J151" s="8">
        <v>0.1</v>
      </c>
      <c r="K151" s="3">
        <v>3968.87</v>
      </c>
      <c r="L151" t="s">
        <v>35</v>
      </c>
      <c r="M151" t="s">
        <v>36</v>
      </c>
      <c r="N151" s="3">
        <f>Table13[[#This Row],[Quantity]]*Table13[[#This Row],[UnitPrice]]*(1-Table13[[#This Row],[Discount]])</f>
        <v>3968.8740000000007</v>
      </c>
    </row>
    <row r="152" spans="1:14" x14ac:dyDescent="0.35">
      <c r="A152" s="4">
        <v>1067</v>
      </c>
      <c r="B152" s="5">
        <v>45933</v>
      </c>
      <c r="C152" s="6" t="s">
        <v>43</v>
      </c>
      <c r="D152" s="6" t="s">
        <v>22</v>
      </c>
      <c r="E152" s="6" t="s">
        <v>84</v>
      </c>
      <c r="F152" s="6" t="s">
        <v>24</v>
      </c>
      <c r="G152" s="6" t="s">
        <v>25</v>
      </c>
      <c r="H152" s="4">
        <v>7</v>
      </c>
      <c r="I152" s="4">
        <v>382.33</v>
      </c>
      <c r="J152" s="4">
        <v>0.05</v>
      </c>
      <c r="K152" s="7">
        <v>2542.4899999999998</v>
      </c>
      <c r="L152" s="6" t="s">
        <v>19</v>
      </c>
      <c r="M152" s="6" t="s">
        <v>20</v>
      </c>
      <c r="N152" s="7">
        <f>Table13[[#This Row],[Quantity]]*Table13[[#This Row],[UnitPrice]]*(1-Table13[[#This Row],[Discount]])</f>
        <v>2542.4944999999998</v>
      </c>
    </row>
    <row r="153" spans="1:14" hidden="1" x14ac:dyDescent="0.35">
      <c r="A153" s="8">
        <v>1236</v>
      </c>
      <c r="B153" s="2">
        <v>45935</v>
      </c>
      <c r="C153" t="s">
        <v>21</v>
      </c>
      <c r="D153" t="s">
        <v>15</v>
      </c>
      <c r="E153" t="s">
        <v>85</v>
      </c>
      <c r="F153" t="s">
        <v>24</v>
      </c>
      <c r="G153" t="s">
        <v>25</v>
      </c>
      <c r="H153" s="8">
        <v>11</v>
      </c>
      <c r="I153" s="8">
        <v>845.44</v>
      </c>
      <c r="J153" s="8">
        <v>0.1</v>
      </c>
      <c r="K153" s="3">
        <v>8369.86</v>
      </c>
      <c r="L153" t="s">
        <v>35</v>
      </c>
      <c r="M153" t="s">
        <v>20</v>
      </c>
      <c r="N153" s="3">
        <f>Table13[[#This Row],[Quantity]]*Table13[[#This Row],[UnitPrice]]*(1-Table13[[#This Row],[Discount]])</f>
        <v>8369.8559999999998</v>
      </c>
    </row>
    <row r="154" spans="1:14" hidden="1" x14ac:dyDescent="0.35">
      <c r="A154" s="8">
        <v>1296</v>
      </c>
      <c r="B154" s="2">
        <v>45939</v>
      </c>
      <c r="C154" t="s">
        <v>27</v>
      </c>
      <c r="D154" t="s">
        <v>31</v>
      </c>
      <c r="E154" t="s">
        <v>83</v>
      </c>
      <c r="F154" t="s">
        <v>17</v>
      </c>
      <c r="G154" t="s">
        <v>18</v>
      </c>
      <c r="H154" s="8">
        <v>11</v>
      </c>
      <c r="I154" s="8">
        <v>738.18</v>
      </c>
      <c r="J154" s="8">
        <v>0.15</v>
      </c>
      <c r="K154" s="3">
        <v>6901.98</v>
      </c>
      <c r="L154" t="s">
        <v>39</v>
      </c>
      <c r="M154" t="s">
        <v>36</v>
      </c>
      <c r="N154" s="3">
        <f>Table13[[#This Row],[Quantity]]*Table13[[#This Row],[UnitPrice]]*(1-Table13[[#This Row],[Discount]])</f>
        <v>6901.9829999999993</v>
      </c>
    </row>
    <row r="155" spans="1:14" hidden="1" x14ac:dyDescent="0.35">
      <c r="A155" s="8">
        <v>1040</v>
      </c>
      <c r="B155" s="2">
        <v>45939</v>
      </c>
      <c r="C155" t="s">
        <v>21</v>
      </c>
      <c r="D155" t="s">
        <v>22</v>
      </c>
      <c r="E155" t="s">
        <v>108</v>
      </c>
      <c r="F155" t="s">
        <v>24</v>
      </c>
      <c r="G155" t="s">
        <v>38</v>
      </c>
      <c r="H155" s="8">
        <v>4</v>
      </c>
      <c r="I155" s="8">
        <v>714</v>
      </c>
      <c r="J155" s="8">
        <v>0</v>
      </c>
      <c r="K155" s="3">
        <v>2856</v>
      </c>
      <c r="L155" t="s">
        <v>39</v>
      </c>
      <c r="M155" t="s">
        <v>26</v>
      </c>
      <c r="N155" s="3">
        <f>Table13[[#This Row],[Quantity]]*Table13[[#This Row],[UnitPrice]]*(1-Table13[[#This Row],[Discount]])</f>
        <v>2856</v>
      </c>
    </row>
    <row r="156" spans="1:14" hidden="1" x14ac:dyDescent="0.35">
      <c r="A156" s="8">
        <v>1105</v>
      </c>
      <c r="B156" s="2">
        <v>45940</v>
      </c>
      <c r="C156" t="s">
        <v>14</v>
      </c>
      <c r="D156" t="s">
        <v>15</v>
      </c>
      <c r="E156" t="s">
        <v>88</v>
      </c>
      <c r="F156" t="s">
        <v>33</v>
      </c>
      <c r="G156" t="s">
        <v>61</v>
      </c>
      <c r="H156" s="8">
        <v>13</v>
      </c>
      <c r="I156" s="8">
        <v>778.87</v>
      </c>
      <c r="J156" s="8">
        <v>0.05</v>
      </c>
      <c r="K156" s="3">
        <v>9619.0400000000009</v>
      </c>
      <c r="L156" t="s">
        <v>19</v>
      </c>
      <c r="M156" t="s">
        <v>20</v>
      </c>
      <c r="N156" s="3">
        <f>Table13[[#This Row],[Quantity]]*Table13[[#This Row],[UnitPrice]]*(1-Table13[[#This Row],[Discount]])</f>
        <v>9619.0445</v>
      </c>
    </row>
    <row r="157" spans="1:14" hidden="1" x14ac:dyDescent="0.35">
      <c r="A157" s="8">
        <v>1291</v>
      </c>
      <c r="B157" s="2">
        <v>45941</v>
      </c>
      <c r="C157" t="s">
        <v>21</v>
      </c>
      <c r="D157" t="s">
        <v>28</v>
      </c>
      <c r="E157" t="s">
        <v>82</v>
      </c>
      <c r="F157" t="s">
        <v>17</v>
      </c>
      <c r="G157" t="s">
        <v>30</v>
      </c>
      <c r="H157" s="8">
        <v>4</v>
      </c>
      <c r="I157" s="8">
        <v>882.92</v>
      </c>
      <c r="J157" s="8">
        <v>0.1</v>
      </c>
      <c r="K157" s="3">
        <v>3178.51</v>
      </c>
      <c r="L157" t="s">
        <v>35</v>
      </c>
      <c r="M157" t="s">
        <v>36</v>
      </c>
      <c r="N157" s="3">
        <f>Table13[[#This Row],[Quantity]]*Table13[[#This Row],[UnitPrice]]*(1-Table13[[#This Row],[Discount]])</f>
        <v>3178.5119999999997</v>
      </c>
    </row>
    <row r="158" spans="1:14" hidden="1" x14ac:dyDescent="0.35">
      <c r="A158" s="8">
        <v>1038</v>
      </c>
      <c r="B158" s="2">
        <v>45942</v>
      </c>
      <c r="C158" t="s">
        <v>14</v>
      </c>
      <c r="D158" t="s">
        <v>28</v>
      </c>
      <c r="E158" t="s">
        <v>41</v>
      </c>
      <c r="F158" t="s">
        <v>33</v>
      </c>
      <c r="G158" t="s">
        <v>61</v>
      </c>
      <c r="H158" s="8">
        <v>5</v>
      </c>
      <c r="I158" s="8">
        <v>229.27</v>
      </c>
      <c r="J158" s="8">
        <v>0.15</v>
      </c>
      <c r="K158" s="3">
        <v>974.4</v>
      </c>
      <c r="L158" t="s">
        <v>39</v>
      </c>
      <c r="M158" t="s">
        <v>20</v>
      </c>
      <c r="N158" s="3">
        <f>Table13[[#This Row],[Quantity]]*Table13[[#This Row],[UnitPrice]]*(1-Table13[[#This Row],[Discount]])</f>
        <v>974.39750000000004</v>
      </c>
    </row>
    <row r="159" spans="1:14" hidden="1" x14ac:dyDescent="0.35">
      <c r="A159" s="8">
        <v>1191</v>
      </c>
      <c r="B159" s="2">
        <v>45946</v>
      </c>
      <c r="C159" t="s">
        <v>27</v>
      </c>
      <c r="D159" t="s">
        <v>54</v>
      </c>
      <c r="E159" t="s">
        <v>94</v>
      </c>
      <c r="F159" t="s">
        <v>17</v>
      </c>
      <c r="G159" t="s">
        <v>30</v>
      </c>
      <c r="H159" s="8">
        <v>3</v>
      </c>
      <c r="I159" s="8">
        <v>42.16</v>
      </c>
      <c r="J159" s="8">
        <v>0.05</v>
      </c>
      <c r="K159" s="3">
        <v>120.16</v>
      </c>
      <c r="L159" t="s">
        <v>39</v>
      </c>
      <c r="M159" t="s">
        <v>36</v>
      </c>
      <c r="N159" s="3">
        <f>Table13[[#This Row],[Quantity]]*Table13[[#This Row],[UnitPrice]]*(1-Table13[[#This Row],[Discount]])</f>
        <v>120.15599999999999</v>
      </c>
    </row>
    <row r="160" spans="1:14" hidden="1" x14ac:dyDescent="0.35">
      <c r="A160" s="8">
        <v>1134</v>
      </c>
      <c r="B160" s="2">
        <v>45947</v>
      </c>
      <c r="C160" t="s">
        <v>27</v>
      </c>
      <c r="D160" t="s">
        <v>28</v>
      </c>
      <c r="E160" t="s">
        <v>23</v>
      </c>
      <c r="F160" t="s">
        <v>17</v>
      </c>
      <c r="G160" t="s">
        <v>18</v>
      </c>
      <c r="H160" s="8">
        <v>12</v>
      </c>
      <c r="I160" s="8">
        <v>306.14999999999998</v>
      </c>
      <c r="J160" s="8">
        <v>0.05</v>
      </c>
      <c r="K160" s="3">
        <v>3490.11</v>
      </c>
      <c r="L160" t="s">
        <v>35</v>
      </c>
      <c r="M160" t="s">
        <v>20</v>
      </c>
      <c r="N160" s="3">
        <f>Table13[[#This Row],[Quantity]]*Table13[[#This Row],[UnitPrice]]*(1-Table13[[#This Row],[Discount]])</f>
        <v>3490.1099999999997</v>
      </c>
    </row>
    <row r="161" spans="1:14" hidden="1" x14ac:dyDescent="0.35">
      <c r="A161" s="8">
        <v>1254</v>
      </c>
      <c r="B161" s="2">
        <v>45947</v>
      </c>
      <c r="C161" t="s">
        <v>14</v>
      </c>
      <c r="D161" t="s">
        <v>15</v>
      </c>
      <c r="E161" t="s">
        <v>73</v>
      </c>
      <c r="F161" t="s">
        <v>24</v>
      </c>
      <c r="G161" t="s">
        <v>38</v>
      </c>
      <c r="H161" s="8">
        <v>1</v>
      </c>
      <c r="I161" s="8">
        <v>15.14</v>
      </c>
      <c r="J161" s="8">
        <v>0</v>
      </c>
      <c r="K161" s="3">
        <v>15.14</v>
      </c>
      <c r="L161" t="s">
        <v>39</v>
      </c>
      <c r="M161" t="s">
        <v>20</v>
      </c>
      <c r="N161" s="3">
        <f>Table13[[#This Row],[Quantity]]*Table13[[#This Row],[UnitPrice]]*(1-Table13[[#This Row],[Discount]])</f>
        <v>15.14</v>
      </c>
    </row>
    <row r="162" spans="1:14" hidden="1" x14ac:dyDescent="0.35">
      <c r="A162" s="8">
        <v>1282</v>
      </c>
      <c r="B162" s="2">
        <v>45949</v>
      </c>
      <c r="C162" t="s">
        <v>14</v>
      </c>
      <c r="D162" t="s">
        <v>47</v>
      </c>
      <c r="E162" t="s">
        <v>42</v>
      </c>
      <c r="F162" t="s">
        <v>33</v>
      </c>
      <c r="G162" t="s">
        <v>61</v>
      </c>
      <c r="H162" s="8">
        <v>12</v>
      </c>
      <c r="I162" s="8">
        <v>753.77</v>
      </c>
      <c r="J162" s="8">
        <v>0.1</v>
      </c>
      <c r="K162" s="3">
        <v>8140.72</v>
      </c>
      <c r="L162" t="s">
        <v>39</v>
      </c>
      <c r="M162" t="s">
        <v>36</v>
      </c>
      <c r="N162" s="3">
        <f>Table13[[#This Row],[Quantity]]*Table13[[#This Row],[UnitPrice]]*(1-Table13[[#This Row],[Discount]])</f>
        <v>8140.7160000000003</v>
      </c>
    </row>
    <row r="163" spans="1:14" x14ac:dyDescent="0.35">
      <c r="A163" s="4">
        <v>1229</v>
      </c>
      <c r="B163" s="5">
        <v>45951</v>
      </c>
      <c r="C163" s="6" t="s">
        <v>43</v>
      </c>
      <c r="D163" s="6" t="s">
        <v>31</v>
      </c>
      <c r="E163" s="6" t="s">
        <v>94</v>
      </c>
      <c r="F163" s="6" t="s">
        <v>24</v>
      </c>
      <c r="G163" s="6" t="s">
        <v>63</v>
      </c>
      <c r="H163" s="4">
        <v>7</v>
      </c>
      <c r="I163" s="4">
        <v>139.15</v>
      </c>
      <c r="J163" s="4">
        <v>0</v>
      </c>
      <c r="K163" s="7">
        <v>974.05</v>
      </c>
      <c r="L163" s="6" t="s">
        <v>39</v>
      </c>
      <c r="M163" s="6" t="s">
        <v>26</v>
      </c>
      <c r="N163" s="7">
        <f>Table13[[#This Row],[Quantity]]*Table13[[#This Row],[UnitPrice]]*(1-Table13[[#This Row],[Discount]])</f>
        <v>974.05000000000007</v>
      </c>
    </row>
    <row r="164" spans="1:14" x14ac:dyDescent="0.35">
      <c r="A164" s="4">
        <v>1234</v>
      </c>
      <c r="B164" s="5">
        <v>45959</v>
      </c>
      <c r="C164" s="6" t="s">
        <v>43</v>
      </c>
      <c r="D164" s="6" t="s">
        <v>31</v>
      </c>
      <c r="E164" s="6" t="s">
        <v>114</v>
      </c>
      <c r="F164" s="6" t="s">
        <v>33</v>
      </c>
      <c r="G164" s="6" t="s">
        <v>61</v>
      </c>
      <c r="H164" s="4">
        <v>12</v>
      </c>
      <c r="I164" s="4">
        <v>219.81</v>
      </c>
      <c r="J164" s="4">
        <v>0</v>
      </c>
      <c r="K164" s="7">
        <v>2637.72</v>
      </c>
      <c r="L164" s="6" t="s">
        <v>39</v>
      </c>
      <c r="M164" s="6" t="s">
        <v>20</v>
      </c>
      <c r="N164" s="7">
        <f>Table13[[#This Row],[Quantity]]*Table13[[#This Row],[UnitPrice]]*(1-Table13[[#This Row],[Discount]])</f>
        <v>2637.7200000000003</v>
      </c>
    </row>
    <row r="165" spans="1:14" hidden="1" x14ac:dyDescent="0.35">
      <c r="A165" s="8">
        <v>1289</v>
      </c>
      <c r="B165" s="2">
        <v>45962</v>
      </c>
      <c r="C165" t="s">
        <v>14</v>
      </c>
      <c r="D165" t="s">
        <v>22</v>
      </c>
      <c r="E165" t="s">
        <v>71</v>
      </c>
      <c r="F165" t="s">
        <v>17</v>
      </c>
      <c r="G165" t="s">
        <v>18</v>
      </c>
      <c r="H165" s="8">
        <v>15</v>
      </c>
      <c r="I165" s="8">
        <v>1129.8399999999999</v>
      </c>
      <c r="J165" s="8">
        <v>0.15</v>
      </c>
      <c r="K165" s="3">
        <v>14405.46</v>
      </c>
      <c r="L165" t="s">
        <v>19</v>
      </c>
      <c r="M165" t="s">
        <v>36</v>
      </c>
      <c r="N165" s="3">
        <f>Table13[[#This Row],[Quantity]]*Table13[[#This Row],[UnitPrice]]*(1-Table13[[#This Row],[Discount]])</f>
        <v>14405.46</v>
      </c>
    </row>
    <row r="166" spans="1:14" hidden="1" x14ac:dyDescent="0.35">
      <c r="A166" s="8">
        <v>1142</v>
      </c>
      <c r="B166" s="2">
        <v>45962</v>
      </c>
      <c r="C166" t="s">
        <v>21</v>
      </c>
      <c r="D166" t="s">
        <v>47</v>
      </c>
      <c r="E166" t="s">
        <v>67</v>
      </c>
      <c r="F166" t="s">
        <v>24</v>
      </c>
      <c r="G166" t="s">
        <v>38</v>
      </c>
      <c r="H166" s="8">
        <v>9</v>
      </c>
      <c r="I166" s="8">
        <v>252.58</v>
      </c>
      <c r="J166" s="8">
        <v>0</v>
      </c>
      <c r="K166" s="3">
        <v>2273.2199999999998</v>
      </c>
      <c r="L166" t="s">
        <v>39</v>
      </c>
      <c r="M166" t="s">
        <v>20</v>
      </c>
      <c r="N166" s="3">
        <f>Table13[[#This Row],[Quantity]]*Table13[[#This Row],[UnitPrice]]*(1-Table13[[#This Row],[Discount]])</f>
        <v>2273.2200000000003</v>
      </c>
    </row>
    <row r="167" spans="1:14" x14ac:dyDescent="0.35">
      <c r="A167" s="4">
        <v>1082</v>
      </c>
      <c r="B167" s="5">
        <v>45964</v>
      </c>
      <c r="C167" s="6" t="s">
        <v>43</v>
      </c>
      <c r="D167" s="6" t="s">
        <v>28</v>
      </c>
      <c r="E167" s="6" t="s">
        <v>90</v>
      </c>
      <c r="F167" s="6" t="s">
        <v>24</v>
      </c>
      <c r="G167" s="6" t="s">
        <v>63</v>
      </c>
      <c r="H167" s="4">
        <v>15</v>
      </c>
      <c r="I167" s="4">
        <v>515.29</v>
      </c>
      <c r="J167" s="4">
        <v>0.15</v>
      </c>
      <c r="K167" s="7">
        <v>6569.95</v>
      </c>
      <c r="L167" s="6" t="s">
        <v>35</v>
      </c>
      <c r="M167" s="6" t="s">
        <v>36</v>
      </c>
      <c r="N167" s="7">
        <f>Table13[[#This Row],[Quantity]]*Table13[[#This Row],[UnitPrice]]*(1-Table13[[#This Row],[Discount]])</f>
        <v>6569.9474999999993</v>
      </c>
    </row>
    <row r="168" spans="1:14" hidden="1" x14ac:dyDescent="0.35">
      <c r="A168" s="8">
        <v>1148</v>
      </c>
      <c r="B168" s="2">
        <v>45964</v>
      </c>
      <c r="C168" t="s">
        <v>21</v>
      </c>
      <c r="D168" t="s">
        <v>22</v>
      </c>
      <c r="E168" t="s">
        <v>100</v>
      </c>
      <c r="F168" t="s">
        <v>24</v>
      </c>
      <c r="G168" t="s">
        <v>38</v>
      </c>
      <c r="H168" s="8">
        <v>2</v>
      </c>
      <c r="I168" s="8">
        <v>680.68</v>
      </c>
      <c r="J168" s="8">
        <v>0</v>
      </c>
      <c r="K168" s="3">
        <v>1361.36</v>
      </c>
      <c r="L168" t="s">
        <v>35</v>
      </c>
      <c r="M168" t="s">
        <v>20</v>
      </c>
      <c r="N168" s="3">
        <f>Table13[[#This Row],[Quantity]]*Table13[[#This Row],[UnitPrice]]*(1-Table13[[#This Row],[Discount]])</f>
        <v>1361.36</v>
      </c>
    </row>
    <row r="169" spans="1:14" x14ac:dyDescent="0.35">
      <c r="A169" s="4">
        <v>1022</v>
      </c>
      <c r="B169" s="5">
        <v>45965</v>
      </c>
      <c r="C169" s="6" t="s">
        <v>43</v>
      </c>
      <c r="D169" s="6" t="s">
        <v>31</v>
      </c>
      <c r="E169" s="6" t="s">
        <v>50</v>
      </c>
      <c r="F169" s="6" t="s">
        <v>24</v>
      </c>
      <c r="G169" s="6" t="s">
        <v>25</v>
      </c>
      <c r="H169" s="4">
        <v>6</v>
      </c>
      <c r="I169" s="4">
        <v>644.17999999999995</v>
      </c>
      <c r="J169" s="4">
        <v>0</v>
      </c>
      <c r="K169" s="7">
        <v>3865.08</v>
      </c>
      <c r="L169" s="6" t="s">
        <v>35</v>
      </c>
      <c r="M169" s="6" t="s">
        <v>26</v>
      </c>
      <c r="N169" s="7">
        <f>Table13[[#This Row],[Quantity]]*Table13[[#This Row],[UnitPrice]]*(1-Table13[[#This Row],[Discount]])</f>
        <v>3865.08</v>
      </c>
    </row>
    <row r="170" spans="1:14" hidden="1" x14ac:dyDescent="0.35">
      <c r="A170" s="8">
        <v>1023</v>
      </c>
      <c r="B170" s="2">
        <v>45966</v>
      </c>
      <c r="C170" t="s">
        <v>27</v>
      </c>
      <c r="D170" t="s">
        <v>47</v>
      </c>
      <c r="E170" t="s">
        <v>110</v>
      </c>
      <c r="F170" t="s">
        <v>17</v>
      </c>
      <c r="G170" t="s">
        <v>46</v>
      </c>
      <c r="H170" s="8">
        <v>8</v>
      </c>
      <c r="I170" s="8">
        <v>1142.6600000000001</v>
      </c>
      <c r="J170" s="8">
        <v>0</v>
      </c>
      <c r="K170" s="3">
        <v>9141.2800000000007</v>
      </c>
      <c r="L170" t="s">
        <v>35</v>
      </c>
      <c r="M170" t="s">
        <v>36</v>
      </c>
      <c r="N170" s="3">
        <f>Table13[[#This Row],[Quantity]]*Table13[[#This Row],[UnitPrice]]*(1-Table13[[#This Row],[Discount]])</f>
        <v>9141.2800000000007</v>
      </c>
    </row>
    <row r="171" spans="1:14" x14ac:dyDescent="0.35">
      <c r="A171" s="4">
        <v>1076</v>
      </c>
      <c r="B171" s="5">
        <v>45968</v>
      </c>
      <c r="C171" s="6" t="s">
        <v>43</v>
      </c>
      <c r="D171" s="6" t="s">
        <v>47</v>
      </c>
      <c r="E171" s="6" t="s">
        <v>104</v>
      </c>
      <c r="F171" s="6" t="s">
        <v>24</v>
      </c>
      <c r="G171" s="6" t="s">
        <v>25</v>
      </c>
      <c r="H171" s="4">
        <v>4</v>
      </c>
      <c r="I171" s="4">
        <v>860.32</v>
      </c>
      <c r="J171" s="4">
        <v>0.05</v>
      </c>
      <c r="K171" s="7">
        <v>3269.22</v>
      </c>
      <c r="L171" s="6" t="s">
        <v>35</v>
      </c>
      <c r="M171" s="6" t="s">
        <v>36</v>
      </c>
      <c r="N171" s="7">
        <f>Table13[[#This Row],[Quantity]]*Table13[[#This Row],[UnitPrice]]*(1-Table13[[#This Row],[Discount]])</f>
        <v>3269.2159999999999</v>
      </c>
    </row>
    <row r="172" spans="1:14" hidden="1" x14ac:dyDescent="0.35">
      <c r="A172" s="8">
        <v>1280</v>
      </c>
      <c r="B172" s="2">
        <v>45973</v>
      </c>
      <c r="C172" t="s">
        <v>21</v>
      </c>
      <c r="D172" t="s">
        <v>54</v>
      </c>
      <c r="E172" t="s">
        <v>79</v>
      </c>
      <c r="F172" t="s">
        <v>24</v>
      </c>
      <c r="G172" t="s">
        <v>63</v>
      </c>
      <c r="H172" s="8">
        <v>6</v>
      </c>
      <c r="I172" s="8">
        <v>177.72</v>
      </c>
      <c r="J172" s="8">
        <v>0.05</v>
      </c>
      <c r="K172" s="3">
        <v>1013</v>
      </c>
      <c r="L172" t="s">
        <v>39</v>
      </c>
      <c r="M172" t="s">
        <v>36</v>
      </c>
      <c r="N172" s="3">
        <f>Table13[[#This Row],[Quantity]]*Table13[[#This Row],[UnitPrice]]*(1-Table13[[#This Row],[Discount]])</f>
        <v>1013.0039999999999</v>
      </c>
    </row>
    <row r="173" spans="1:14" x14ac:dyDescent="0.35">
      <c r="A173" s="4">
        <v>1089</v>
      </c>
      <c r="B173" s="5">
        <v>45975</v>
      </c>
      <c r="C173" s="6" t="s">
        <v>43</v>
      </c>
      <c r="D173" s="6" t="s">
        <v>22</v>
      </c>
      <c r="E173" s="6" t="s">
        <v>89</v>
      </c>
      <c r="F173" s="6" t="s">
        <v>17</v>
      </c>
      <c r="G173" s="6" t="s">
        <v>30</v>
      </c>
      <c r="H173" s="4">
        <v>7</v>
      </c>
      <c r="I173" s="4">
        <v>1167.5899999999999</v>
      </c>
      <c r="J173" s="4">
        <v>0</v>
      </c>
      <c r="K173" s="7">
        <v>8173.13</v>
      </c>
      <c r="L173" s="6" t="s">
        <v>19</v>
      </c>
      <c r="M173" s="6" t="s">
        <v>36</v>
      </c>
      <c r="N173" s="7">
        <f>Table13[[#This Row],[Quantity]]*Table13[[#This Row],[UnitPrice]]*(1-Table13[[#This Row],[Discount]])</f>
        <v>8173.1299999999992</v>
      </c>
    </row>
    <row r="174" spans="1:14" hidden="1" x14ac:dyDescent="0.35">
      <c r="A174" s="8">
        <v>1178</v>
      </c>
      <c r="B174" s="2">
        <v>45977</v>
      </c>
      <c r="C174" t="s">
        <v>27</v>
      </c>
      <c r="D174" t="s">
        <v>28</v>
      </c>
      <c r="E174" t="s">
        <v>51</v>
      </c>
      <c r="F174" t="s">
        <v>24</v>
      </c>
      <c r="G174" t="s">
        <v>38</v>
      </c>
      <c r="H174" s="8">
        <v>1</v>
      </c>
      <c r="I174" s="8">
        <v>778.23</v>
      </c>
      <c r="J174" s="8">
        <v>0.1</v>
      </c>
      <c r="K174" s="3">
        <v>700.41</v>
      </c>
      <c r="L174" t="s">
        <v>39</v>
      </c>
      <c r="M174" t="s">
        <v>20</v>
      </c>
      <c r="N174" s="3">
        <f>Table13[[#This Row],[Quantity]]*Table13[[#This Row],[UnitPrice]]*(1-Table13[[#This Row],[Discount]])</f>
        <v>700.40700000000004</v>
      </c>
    </row>
    <row r="175" spans="1:14" x14ac:dyDescent="0.35">
      <c r="A175" s="4">
        <v>1200</v>
      </c>
      <c r="B175" s="5">
        <v>45978</v>
      </c>
      <c r="C175" s="6" t="s">
        <v>43</v>
      </c>
      <c r="D175" s="6" t="s">
        <v>22</v>
      </c>
      <c r="E175" s="6" t="s">
        <v>85</v>
      </c>
      <c r="F175" s="6" t="s">
        <v>17</v>
      </c>
      <c r="G175" s="6" t="s">
        <v>18</v>
      </c>
      <c r="H175" s="4">
        <v>14</v>
      </c>
      <c r="I175" s="4">
        <v>173.55</v>
      </c>
      <c r="J175" s="4">
        <v>0.1</v>
      </c>
      <c r="K175" s="7">
        <v>2186.73</v>
      </c>
      <c r="L175" s="6" t="s">
        <v>39</v>
      </c>
      <c r="M175" s="6" t="s">
        <v>36</v>
      </c>
      <c r="N175" s="7">
        <f>Table13[[#This Row],[Quantity]]*Table13[[#This Row],[UnitPrice]]*(1-Table13[[#This Row],[Discount]])</f>
        <v>2186.7300000000005</v>
      </c>
    </row>
    <row r="176" spans="1:14" hidden="1" x14ac:dyDescent="0.35">
      <c r="A176" s="8">
        <v>1058</v>
      </c>
      <c r="B176" s="2">
        <v>45980</v>
      </c>
      <c r="C176" t="s">
        <v>27</v>
      </c>
      <c r="D176" t="s">
        <v>31</v>
      </c>
      <c r="E176" t="s">
        <v>68</v>
      </c>
      <c r="F176" t="s">
        <v>17</v>
      </c>
      <c r="G176" t="s">
        <v>30</v>
      </c>
      <c r="H176" s="8">
        <v>13</v>
      </c>
      <c r="I176" s="8">
        <v>165.44</v>
      </c>
      <c r="J176" s="8">
        <v>0.05</v>
      </c>
      <c r="K176" s="3">
        <v>2043.18</v>
      </c>
      <c r="L176" t="s">
        <v>35</v>
      </c>
      <c r="M176" t="s">
        <v>36</v>
      </c>
      <c r="N176" s="3">
        <f>Table13[[#This Row],[Quantity]]*Table13[[#This Row],[UnitPrice]]*(1-Table13[[#This Row],[Discount]])</f>
        <v>2043.1839999999997</v>
      </c>
    </row>
    <row r="177" spans="1:14" hidden="1" x14ac:dyDescent="0.35">
      <c r="A177" s="8">
        <v>1032</v>
      </c>
      <c r="B177" s="2">
        <v>45986</v>
      </c>
      <c r="C177" t="s">
        <v>14</v>
      </c>
      <c r="D177" t="s">
        <v>47</v>
      </c>
      <c r="E177" t="s">
        <v>32</v>
      </c>
      <c r="F177" t="s">
        <v>24</v>
      </c>
      <c r="G177" t="s">
        <v>25</v>
      </c>
      <c r="H177" s="8">
        <v>3</v>
      </c>
      <c r="I177" s="8">
        <v>493.51</v>
      </c>
      <c r="J177" s="8">
        <v>0</v>
      </c>
      <c r="K177" s="3">
        <v>1480.53</v>
      </c>
      <c r="L177" t="s">
        <v>35</v>
      </c>
      <c r="M177" t="s">
        <v>36</v>
      </c>
      <c r="N177" s="3">
        <f>Table13[[#This Row],[Quantity]]*Table13[[#This Row],[UnitPrice]]*(1-Table13[[#This Row],[Discount]])</f>
        <v>1480.53</v>
      </c>
    </row>
    <row r="178" spans="1:14" x14ac:dyDescent="0.35">
      <c r="A178" s="4">
        <v>1233</v>
      </c>
      <c r="B178" s="5">
        <v>45987</v>
      </c>
      <c r="C178" s="6" t="s">
        <v>43</v>
      </c>
      <c r="D178" s="6" t="s">
        <v>54</v>
      </c>
      <c r="E178" s="6" t="s">
        <v>100</v>
      </c>
      <c r="F178" s="6" t="s">
        <v>33</v>
      </c>
      <c r="G178" s="6" t="s">
        <v>61</v>
      </c>
      <c r="H178" s="4">
        <v>3</v>
      </c>
      <c r="I178" s="4">
        <v>720.43</v>
      </c>
      <c r="J178" s="4">
        <v>0.05</v>
      </c>
      <c r="K178" s="7">
        <v>2053.23</v>
      </c>
      <c r="L178" s="6" t="s">
        <v>35</v>
      </c>
      <c r="M178" s="6" t="s">
        <v>36</v>
      </c>
      <c r="N178" s="7">
        <f>Table13[[#This Row],[Quantity]]*Table13[[#This Row],[UnitPrice]]*(1-Table13[[#This Row],[Discount]])</f>
        <v>2053.2255</v>
      </c>
    </row>
    <row r="179" spans="1:14" hidden="1" x14ac:dyDescent="0.35">
      <c r="A179" s="8">
        <v>1281</v>
      </c>
      <c r="B179" s="2">
        <v>45990</v>
      </c>
      <c r="C179" t="s">
        <v>27</v>
      </c>
      <c r="D179" t="s">
        <v>31</v>
      </c>
      <c r="E179" t="s">
        <v>37</v>
      </c>
      <c r="F179" t="s">
        <v>17</v>
      </c>
      <c r="G179" t="s">
        <v>46</v>
      </c>
      <c r="H179" s="8">
        <v>7</v>
      </c>
      <c r="I179" s="8">
        <v>178.11</v>
      </c>
      <c r="J179" s="8">
        <v>0.1</v>
      </c>
      <c r="K179" s="3">
        <v>1122.0899999999999</v>
      </c>
      <c r="L179" t="s">
        <v>39</v>
      </c>
      <c r="M179" t="s">
        <v>26</v>
      </c>
      <c r="N179" s="3">
        <f>Table13[[#This Row],[Quantity]]*Table13[[#This Row],[UnitPrice]]*(1-Table13[[#This Row],[Discount]])</f>
        <v>1122.0930000000001</v>
      </c>
    </row>
    <row r="180" spans="1:14" hidden="1" x14ac:dyDescent="0.35">
      <c r="A180" s="8">
        <v>1228</v>
      </c>
      <c r="B180" s="2">
        <v>45991</v>
      </c>
      <c r="C180" t="s">
        <v>21</v>
      </c>
      <c r="D180" t="s">
        <v>47</v>
      </c>
      <c r="E180" t="s">
        <v>71</v>
      </c>
      <c r="F180" t="s">
        <v>17</v>
      </c>
      <c r="G180" t="s">
        <v>46</v>
      </c>
      <c r="H180" s="8">
        <v>12</v>
      </c>
      <c r="I180" s="8">
        <v>452.76</v>
      </c>
      <c r="J180" s="8">
        <v>0.15</v>
      </c>
      <c r="K180" s="3">
        <v>4618.1499999999996</v>
      </c>
      <c r="L180" t="s">
        <v>39</v>
      </c>
      <c r="M180" t="s">
        <v>20</v>
      </c>
      <c r="N180" s="3">
        <f>Table13[[#This Row],[Quantity]]*Table13[[#This Row],[UnitPrice]]*(1-Table13[[#This Row],[Discount]])</f>
        <v>4618.152</v>
      </c>
    </row>
    <row r="181" spans="1:14" x14ac:dyDescent="0.35">
      <c r="A181" s="4">
        <v>1225</v>
      </c>
      <c r="B181" s="5">
        <v>45992</v>
      </c>
      <c r="C181" s="6" t="s">
        <v>43</v>
      </c>
      <c r="D181" s="6" t="s">
        <v>28</v>
      </c>
      <c r="E181" s="6" t="s">
        <v>115</v>
      </c>
      <c r="F181" s="6" t="s">
        <v>33</v>
      </c>
      <c r="G181" s="6" t="s">
        <v>61</v>
      </c>
      <c r="H181" s="4">
        <v>15</v>
      </c>
      <c r="I181" s="4">
        <v>173.11</v>
      </c>
      <c r="J181" s="4">
        <v>0.05</v>
      </c>
      <c r="K181" s="7">
        <v>2466.8200000000002</v>
      </c>
      <c r="L181" s="6" t="s">
        <v>19</v>
      </c>
      <c r="M181" s="6" t="s">
        <v>26</v>
      </c>
      <c r="N181" s="7">
        <f>Table13[[#This Row],[Quantity]]*Table13[[#This Row],[UnitPrice]]*(1-Table13[[#This Row],[Discount]])</f>
        <v>2466.8175000000001</v>
      </c>
    </row>
    <row r="182" spans="1:14" x14ac:dyDescent="0.35">
      <c r="A182" s="4">
        <v>1209</v>
      </c>
      <c r="B182" s="5">
        <v>45994</v>
      </c>
      <c r="C182" s="6" t="s">
        <v>43</v>
      </c>
      <c r="D182" s="6" t="s">
        <v>31</v>
      </c>
      <c r="E182" s="6" t="s">
        <v>106</v>
      </c>
      <c r="F182" s="6" t="s">
        <v>17</v>
      </c>
      <c r="G182" s="6" t="s">
        <v>18</v>
      </c>
      <c r="H182" s="4">
        <v>15</v>
      </c>
      <c r="I182" s="4">
        <v>558.47</v>
      </c>
      <c r="J182" s="4">
        <v>0</v>
      </c>
      <c r="K182" s="7">
        <v>8377.0499999999993</v>
      </c>
      <c r="L182" s="6" t="s">
        <v>35</v>
      </c>
      <c r="M182" s="6" t="s">
        <v>26</v>
      </c>
      <c r="N182" s="7">
        <f>Table13[[#This Row],[Quantity]]*Table13[[#This Row],[UnitPrice]]*(1-Table13[[#This Row],[Discount]])</f>
        <v>8377.0500000000011</v>
      </c>
    </row>
    <row r="183" spans="1:14" hidden="1" x14ac:dyDescent="0.35">
      <c r="A183" s="8">
        <v>1253</v>
      </c>
      <c r="B183" s="2">
        <v>45996</v>
      </c>
      <c r="C183" t="s">
        <v>14</v>
      </c>
      <c r="D183" t="s">
        <v>54</v>
      </c>
      <c r="E183" t="s">
        <v>75</v>
      </c>
      <c r="F183" t="s">
        <v>33</v>
      </c>
      <c r="G183" t="s">
        <v>53</v>
      </c>
      <c r="H183" s="8">
        <v>11</v>
      </c>
      <c r="I183" s="8">
        <v>405.67</v>
      </c>
      <c r="J183" s="8">
        <v>0</v>
      </c>
      <c r="K183" s="3">
        <v>4462.37</v>
      </c>
      <c r="L183" t="s">
        <v>35</v>
      </c>
      <c r="M183" t="s">
        <v>26</v>
      </c>
      <c r="N183" s="3">
        <f>Table13[[#This Row],[Quantity]]*Table13[[#This Row],[UnitPrice]]*(1-Table13[[#This Row],[Discount]])</f>
        <v>4462.37</v>
      </c>
    </row>
    <row r="184" spans="1:14" hidden="1" x14ac:dyDescent="0.35">
      <c r="A184" s="8">
        <v>1056</v>
      </c>
      <c r="B184" s="2">
        <v>45998</v>
      </c>
      <c r="C184" t="s">
        <v>14</v>
      </c>
      <c r="D184" t="s">
        <v>28</v>
      </c>
      <c r="E184" t="s">
        <v>73</v>
      </c>
      <c r="F184" t="s">
        <v>17</v>
      </c>
      <c r="G184" t="s">
        <v>46</v>
      </c>
      <c r="H184" s="8">
        <v>8</v>
      </c>
      <c r="I184" s="8">
        <v>639.70000000000005</v>
      </c>
      <c r="J184" s="8">
        <v>0</v>
      </c>
      <c r="K184" s="3">
        <v>5117.6000000000004</v>
      </c>
      <c r="L184" t="s">
        <v>35</v>
      </c>
      <c r="M184" t="s">
        <v>20</v>
      </c>
      <c r="N184" s="3">
        <f>Table13[[#This Row],[Quantity]]*Table13[[#This Row],[UnitPrice]]*(1-Table13[[#This Row],[Discount]])</f>
        <v>5117.6000000000004</v>
      </c>
    </row>
    <row r="185" spans="1:14" hidden="1" x14ac:dyDescent="0.35">
      <c r="A185" s="8">
        <v>1173</v>
      </c>
      <c r="B185" s="2">
        <v>46000</v>
      </c>
      <c r="C185" t="s">
        <v>21</v>
      </c>
      <c r="D185" t="s">
        <v>54</v>
      </c>
      <c r="E185" t="s">
        <v>112</v>
      </c>
      <c r="F185" t="s">
        <v>33</v>
      </c>
      <c r="G185" t="s">
        <v>34</v>
      </c>
      <c r="H185" s="8">
        <v>7</v>
      </c>
      <c r="I185" s="8">
        <v>859.04</v>
      </c>
      <c r="J185" s="8">
        <v>0</v>
      </c>
      <c r="K185" s="3">
        <v>6013.28</v>
      </c>
      <c r="L185" t="s">
        <v>35</v>
      </c>
      <c r="M185" t="s">
        <v>36</v>
      </c>
      <c r="N185" s="3">
        <f>Table13[[#This Row],[Quantity]]*Table13[[#This Row],[UnitPrice]]*(1-Table13[[#This Row],[Discount]])</f>
        <v>6013.28</v>
      </c>
    </row>
    <row r="186" spans="1:14" hidden="1" x14ac:dyDescent="0.35">
      <c r="A186" s="8">
        <v>1122</v>
      </c>
      <c r="B186" s="2">
        <v>46000</v>
      </c>
      <c r="C186" t="s">
        <v>14</v>
      </c>
      <c r="D186" t="s">
        <v>31</v>
      </c>
      <c r="E186" t="s">
        <v>32</v>
      </c>
      <c r="F186" t="s">
        <v>24</v>
      </c>
      <c r="G186" t="s">
        <v>63</v>
      </c>
      <c r="H186" s="8">
        <v>7</v>
      </c>
      <c r="I186" s="8">
        <v>161.07</v>
      </c>
      <c r="J186" s="8">
        <v>0</v>
      </c>
      <c r="K186" s="3">
        <v>1127.49</v>
      </c>
      <c r="L186" t="s">
        <v>39</v>
      </c>
      <c r="M186" t="s">
        <v>36</v>
      </c>
      <c r="N186" s="3">
        <f>Table13[[#This Row],[Quantity]]*Table13[[#This Row],[UnitPrice]]*(1-Table13[[#This Row],[Discount]])</f>
        <v>1127.49</v>
      </c>
    </row>
    <row r="187" spans="1:14" hidden="1" x14ac:dyDescent="0.35">
      <c r="A187" s="8">
        <v>1279</v>
      </c>
      <c r="B187" s="2">
        <v>46003</v>
      </c>
      <c r="C187" t="s">
        <v>21</v>
      </c>
      <c r="D187" t="s">
        <v>31</v>
      </c>
      <c r="E187" t="s">
        <v>92</v>
      </c>
      <c r="F187" t="s">
        <v>33</v>
      </c>
      <c r="G187" t="s">
        <v>61</v>
      </c>
      <c r="H187" s="8">
        <v>9</v>
      </c>
      <c r="I187" s="8">
        <v>1016.59</v>
      </c>
      <c r="J187" s="8">
        <v>0.15</v>
      </c>
      <c r="K187" s="3">
        <v>7776.91</v>
      </c>
      <c r="L187" t="s">
        <v>19</v>
      </c>
      <c r="M187" t="s">
        <v>20</v>
      </c>
      <c r="N187" s="3">
        <f>Table13[[#This Row],[Quantity]]*Table13[[#This Row],[UnitPrice]]*(1-Table13[[#This Row],[Discount]])</f>
        <v>7776.9134999999997</v>
      </c>
    </row>
    <row r="188" spans="1:14" hidden="1" x14ac:dyDescent="0.35">
      <c r="A188" s="8">
        <v>1070</v>
      </c>
      <c r="B188" s="2">
        <v>46003</v>
      </c>
      <c r="C188" t="s">
        <v>27</v>
      </c>
      <c r="D188" t="s">
        <v>22</v>
      </c>
      <c r="E188" t="s">
        <v>116</v>
      </c>
      <c r="F188" t="s">
        <v>33</v>
      </c>
      <c r="G188" t="s">
        <v>34</v>
      </c>
      <c r="H188" s="8">
        <v>9</v>
      </c>
      <c r="I188" s="8">
        <v>543.92999999999995</v>
      </c>
      <c r="J188" s="8">
        <v>0.1</v>
      </c>
      <c r="K188" s="3">
        <v>4405.83</v>
      </c>
      <c r="L188" t="s">
        <v>19</v>
      </c>
      <c r="M188" t="s">
        <v>36</v>
      </c>
      <c r="N188" s="3">
        <f>Table13[[#This Row],[Quantity]]*Table13[[#This Row],[UnitPrice]]*(1-Table13[[#This Row],[Discount]])</f>
        <v>4405.8329999999996</v>
      </c>
    </row>
    <row r="189" spans="1:14" hidden="1" x14ac:dyDescent="0.35">
      <c r="A189" s="8">
        <v>1157</v>
      </c>
      <c r="B189" s="2">
        <v>46006</v>
      </c>
      <c r="C189" t="s">
        <v>27</v>
      </c>
      <c r="D189" t="s">
        <v>47</v>
      </c>
      <c r="E189" t="s">
        <v>117</v>
      </c>
      <c r="F189" t="s">
        <v>24</v>
      </c>
      <c r="G189" t="s">
        <v>63</v>
      </c>
      <c r="H189" s="8">
        <v>15</v>
      </c>
      <c r="I189" s="8">
        <v>269.54000000000002</v>
      </c>
      <c r="J189" s="8">
        <v>0.15</v>
      </c>
      <c r="K189" s="3">
        <v>3436.64</v>
      </c>
      <c r="L189" t="s">
        <v>35</v>
      </c>
      <c r="M189" t="s">
        <v>20</v>
      </c>
      <c r="N189" s="3">
        <f>Table13[[#This Row],[Quantity]]*Table13[[#This Row],[UnitPrice]]*(1-Table13[[#This Row],[Discount]])</f>
        <v>3436.6350000000002</v>
      </c>
    </row>
    <row r="190" spans="1:14" hidden="1" x14ac:dyDescent="0.35">
      <c r="A190" s="8">
        <v>1163</v>
      </c>
      <c r="B190" s="2">
        <v>46009</v>
      </c>
      <c r="C190" t="s">
        <v>14</v>
      </c>
      <c r="D190" t="s">
        <v>28</v>
      </c>
      <c r="E190" t="s">
        <v>82</v>
      </c>
      <c r="F190" t="s">
        <v>33</v>
      </c>
      <c r="G190" t="s">
        <v>34</v>
      </c>
      <c r="H190" s="8">
        <v>10</v>
      </c>
      <c r="I190" s="8">
        <v>680.99</v>
      </c>
      <c r="J190" s="8">
        <v>0.15</v>
      </c>
      <c r="K190" s="3">
        <v>5788.41</v>
      </c>
      <c r="L190" t="s">
        <v>39</v>
      </c>
      <c r="M190" t="s">
        <v>26</v>
      </c>
      <c r="N190" s="3">
        <f>Table13[[#This Row],[Quantity]]*Table13[[#This Row],[UnitPrice]]*(1-Table13[[#This Row],[Discount]])</f>
        <v>5788.415</v>
      </c>
    </row>
    <row r="191" spans="1:14" hidden="1" x14ac:dyDescent="0.35">
      <c r="A191" s="8">
        <v>1094</v>
      </c>
      <c r="B191" s="2">
        <v>46011</v>
      </c>
      <c r="C191" t="s">
        <v>21</v>
      </c>
      <c r="D191" t="s">
        <v>28</v>
      </c>
      <c r="E191" t="s">
        <v>84</v>
      </c>
      <c r="F191" t="s">
        <v>24</v>
      </c>
      <c r="G191" t="s">
        <v>38</v>
      </c>
      <c r="H191" s="8">
        <v>14</v>
      </c>
      <c r="I191" s="8">
        <v>587.35</v>
      </c>
      <c r="J191" s="8">
        <v>0.05</v>
      </c>
      <c r="K191" s="3">
        <v>7811.75</v>
      </c>
      <c r="L191" t="s">
        <v>39</v>
      </c>
      <c r="M191" t="s">
        <v>26</v>
      </c>
      <c r="N191" s="3">
        <f>Table13[[#This Row],[Quantity]]*Table13[[#This Row],[UnitPrice]]*(1-Table13[[#This Row],[Discount]])</f>
        <v>7811.7549999999992</v>
      </c>
    </row>
    <row r="192" spans="1:14" hidden="1" x14ac:dyDescent="0.35">
      <c r="A192" s="8">
        <v>1263</v>
      </c>
      <c r="B192" s="2">
        <v>46011</v>
      </c>
      <c r="C192" t="s">
        <v>14</v>
      </c>
      <c r="D192" t="s">
        <v>15</v>
      </c>
      <c r="E192" t="s">
        <v>74</v>
      </c>
      <c r="F192" t="s">
        <v>17</v>
      </c>
      <c r="G192" t="s">
        <v>30</v>
      </c>
      <c r="H192" s="8">
        <v>5</v>
      </c>
      <c r="I192" s="8">
        <v>1052.71</v>
      </c>
      <c r="J192" s="8">
        <v>0.15</v>
      </c>
      <c r="K192" s="3">
        <v>4474.0200000000004</v>
      </c>
      <c r="L192" t="s">
        <v>35</v>
      </c>
      <c r="M192" t="s">
        <v>36</v>
      </c>
      <c r="N192" s="3">
        <f>Table13[[#This Row],[Quantity]]*Table13[[#This Row],[UnitPrice]]*(1-Table13[[#This Row],[Discount]])</f>
        <v>4474.0174999999999</v>
      </c>
    </row>
    <row r="193" spans="1:14" hidden="1" x14ac:dyDescent="0.35">
      <c r="A193" s="8">
        <v>1130</v>
      </c>
      <c r="B193" s="2">
        <v>46013</v>
      </c>
      <c r="C193" t="s">
        <v>27</v>
      </c>
      <c r="D193" t="s">
        <v>15</v>
      </c>
      <c r="E193" t="s">
        <v>55</v>
      </c>
      <c r="F193" t="s">
        <v>33</v>
      </c>
      <c r="G193" t="s">
        <v>61</v>
      </c>
      <c r="H193" s="8">
        <v>10</v>
      </c>
      <c r="I193" s="8">
        <v>440.81</v>
      </c>
      <c r="J193" s="8">
        <v>0.15</v>
      </c>
      <c r="K193" s="3">
        <v>3746.89</v>
      </c>
      <c r="L193" t="s">
        <v>19</v>
      </c>
      <c r="M193" t="s">
        <v>26</v>
      </c>
      <c r="N193" s="3">
        <f>Table13[[#This Row],[Quantity]]*Table13[[#This Row],[UnitPrice]]*(1-Table13[[#This Row],[Discount]])</f>
        <v>3746.8850000000002</v>
      </c>
    </row>
    <row r="194" spans="1:14" hidden="1" x14ac:dyDescent="0.35">
      <c r="A194" s="8">
        <v>1252</v>
      </c>
      <c r="B194" s="2">
        <v>46014</v>
      </c>
      <c r="C194" t="s">
        <v>27</v>
      </c>
      <c r="D194" t="s">
        <v>28</v>
      </c>
      <c r="E194" t="s">
        <v>102</v>
      </c>
      <c r="F194" t="s">
        <v>24</v>
      </c>
      <c r="G194" t="s">
        <v>63</v>
      </c>
      <c r="H194" s="8">
        <v>11</v>
      </c>
      <c r="I194" s="8">
        <v>597.44000000000005</v>
      </c>
      <c r="J194" s="8">
        <v>0.1</v>
      </c>
      <c r="K194" s="3">
        <v>5914.66</v>
      </c>
      <c r="L194" t="s">
        <v>39</v>
      </c>
      <c r="M194" t="s">
        <v>36</v>
      </c>
      <c r="N194" s="3">
        <f>Table13[[#This Row],[Quantity]]*Table13[[#This Row],[UnitPrice]]*(1-Table13[[#This Row],[Discount]])</f>
        <v>5914.6559999999999</v>
      </c>
    </row>
    <row r="195" spans="1:14" hidden="1" x14ac:dyDescent="0.35">
      <c r="A195" s="8">
        <v>1057</v>
      </c>
      <c r="B195" s="2">
        <v>46014</v>
      </c>
      <c r="C195" t="s">
        <v>27</v>
      </c>
      <c r="D195" t="s">
        <v>54</v>
      </c>
      <c r="E195" t="s">
        <v>44</v>
      </c>
      <c r="F195" t="s">
        <v>33</v>
      </c>
      <c r="G195" t="s">
        <v>34</v>
      </c>
      <c r="H195" s="8">
        <v>9</v>
      </c>
      <c r="I195" s="8">
        <v>43.43</v>
      </c>
      <c r="J195" s="8">
        <v>0.15</v>
      </c>
      <c r="K195" s="3">
        <v>332.24</v>
      </c>
      <c r="L195" t="s">
        <v>19</v>
      </c>
      <c r="M195" t="s">
        <v>20</v>
      </c>
      <c r="N195" s="3">
        <f>Table13[[#This Row],[Quantity]]*Table13[[#This Row],[UnitPrice]]*(1-Table13[[#This Row],[Discount]])</f>
        <v>332.23950000000002</v>
      </c>
    </row>
    <row r="196" spans="1:14" hidden="1" x14ac:dyDescent="0.35">
      <c r="A196" s="8">
        <v>1065</v>
      </c>
      <c r="B196" s="2">
        <v>46015</v>
      </c>
      <c r="C196" t="s">
        <v>21</v>
      </c>
      <c r="D196" t="s">
        <v>31</v>
      </c>
      <c r="E196" t="s">
        <v>108</v>
      </c>
      <c r="F196" t="s">
        <v>17</v>
      </c>
      <c r="G196" t="s">
        <v>30</v>
      </c>
      <c r="H196" s="8">
        <v>13</v>
      </c>
      <c r="I196" s="8">
        <v>1000.28</v>
      </c>
      <c r="J196" s="8">
        <v>0.15</v>
      </c>
      <c r="K196" s="3">
        <v>11053.09</v>
      </c>
      <c r="L196" t="s">
        <v>39</v>
      </c>
      <c r="M196" t="s">
        <v>36</v>
      </c>
      <c r="N196" s="3">
        <f>Table13[[#This Row],[Quantity]]*Table13[[#This Row],[UnitPrice]]*(1-Table13[[#This Row],[Discount]])</f>
        <v>11053.093999999999</v>
      </c>
    </row>
    <row r="197" spans="1:14" hidden="1" x14ac:dyDescent="0.35">
      <c r="A197" s="8">
        <v>1136</v>
      </c>
      <c r="B197" s="2">
        <v>46017</v>
      </c>
      <c r="C197" t="s">
        <v>21</v>
      </c>
      <c r="D197" t="s">
        <v>22</v>
      </c>
      <c r="E197" t="s">
        <v>62</v>
      </c>
      <c r="F197" t="s">
        <v>17</v>
      </c>
      <c r="G197" t="s">
        <v>46</v>
      </c>
      <c r="H197" s="8">
        <v>15</v>
      </c>
      <c r="I197" s="8">
        <v>628.37</v>
      </c>
      <c r="J197" s="8">
        <v>0.1</v>
      </c>
      <c r="K197" s="3">
        <v>8482.99</v>
      </c>
      <c r="L197" t="s">
        <v>39</v>
      </c>
      <c r="M197" t="s">
        <v>36</v>
      </c>
      <c r="N197" s="3">
        <f>Table13[[#This Row],[Quantity]]*Table13[[#This Row],[UnitPrice]]*(1-Table13[[#This Row],[Discount]])</f>
        <v>8482.994999999999</v>
      </c>
    </row>
    <row r="198" spans="1:14" x14ac:dyDescent="0.35">
      <c r="A198" s="4">
        <v>1097</v>
      </c>
      <c r="B198" s="5">
        <v>46025</v>
      </c>
      <c r="C198" s="6" t="s">
        <v>43</v>
      </c>
      <c r="D198" s="6" t="s">
        <v>15</v>
      </c>
      <c r="E198" s="6" t="s">
        <v>80</v>
      </c>
      <c r="F198" s="6" t="s">
        <v>17</v>
      </c>
      <c r="G198" s="6" t="s">
        <v>18</v>
      </c>
      <c r="H198" s="4">
        <v>5</v>
      </c>
      <c r="I198" s="4">
        <v>816.74</v>
      </c>
      <c r="J198" s="4">
        <v>0.1</v>
      </c>
      <c r="K198" s="7">
        <v>3675.33</v>
      </c>
      <c r="L198" s="6" t="s">
        <v>19</v>
      </c>
      <c r="M198" s="6" t="s">
        <v>36</v>
      </c>
      <c r="N198" s="7">
        <f>Table13[[#This Row],[Quantity]]*Table13[[#This Row],[UnitPrice]]*(1-Table13[[#This Row],[Discount]])</f>
        <v>3675.33</v>
      </c>
    </row>
    <row r="199" spans="1:14" hidden="1" x14ac:dyDescent="0.35">
      <c r="A199" s="8">
        <v>1140</v>
      </c>
      <c r="B199" s="2">
        <v>46026</v>
      </c>
      <c r="C199" t="s">
        <v>27</v>
      </c>
      <c r="D199" t="s">
        <v>28</v>
      </c>
      <c r="E199" t="s">
        <v>41</v>
      </c>
      <c r="F199" t="s">
        <v>33</v>
      </c>
      <c r="G199" t="s">
        <v>34</v>
      </c>
      <c r="H199" s="8">
        <v>13</v>
      </c>
      <c r="I199" s="8">
        <v>284.39999999999998</v>
      </c>
      <c r="J199" s="8">
        <v>0.05</v>
      </c>
      <c r="K199" s="3">
        <v>3512.34</v>
      </c>
      <c r="L199" t="s">
        <v>19</v>
      </c>
      <c r="M199" t="s">
        <v>36</v>
      </c>
      <c r="N199" s="3">
        <f>Table13[[#This Row],[Quantity]]*Table13[[#This Row],[UnitPrice]]*(1-Table13[[#This Row],[Discount]])</f>
        <v>3512.3399999999997</v>
      </c>
    </row>
    <row r="200" spans="1:14" x14ac:dyDescent="0.35">
      <c r="A200" s="4">
        <v>1009</v>
      </c>
      <c r="B200" s="5">
        <v>46026</v>
      </c>
      <c r="C200" s="6" t="s">
        <v>43</v>
      </c>
      <c r="D200" s="6" t="s">
        <v>15</v>
      </c>
      <c r="E200" s="6" t="s">
        <v>111</v>
      </c>
      <c r="F200" s="6" t="s">
        <v>33</v>
      </c>
      <c r="G200" s="6" t="s">
        <v>53</v>
      </c>
      <c r="H200" s="4">
        <v>6</v>
      </c>
      <c r="I200" s="4">
        <v>418.1</v>
      </c>
      <c r="J200" s="4">
        <v>0.05</v>
      </c>
      <c r="K200" s="7">
        <v>2383.17</v>
      </c>
      <c r="L200" s="6" t="s">
        <v>35</v>
      </c>
      <c r="M200" s="6" t="s">
        <v>36</v>
      </c>
      <c r="N200" s="7">
        <f>Table13[[#This Row],[Quantity]]*Table13[[#This Row],[UnitPrice]]*(1-Table13[[#This Row],[Discount]])</f>
        <v>2383.17</v>
      </c>
    </row>
    <row r="201" spans="1:14" x14ac:dyDescent="0.35">
      <c r="A201" s="4">
        <v>1224</v>
      </c>
      <c r="B201" s="5">
        <v>46027</v>
      </c>
      <c r="C201" s="6" t="s">
        <v>43</v>
      </c>
      <c r="D201" s="6" t="s">
        <v>22</v>
      </c>
      <c r="E201" s="6" t="s">
        <v>79</v>
      </c>
      <c r="F201" s="6" t="s">
        <v>17</v>
      </c>
      <c r="G201" s="6" t="s">
        <v>30</v>
      </c>
      <c r="H201" s="4">
        <v>4</v>
      </c>
      <c r="I201" s="4">
        <v>1032.07</v>
      </c>
      <c r="J201" s="4">
        <v>0.05</v>
      </c>
      <c r="K201" s="7">
        <v>3921.87</v>
      </c>
      <c r="L201" s="6" t="s">
        <v>19</v>
      </c>
      <c r="M201" s="6" t="s">
        <v>36</v>
      </c>
      <c r="N201" s="7">
        <f>Table13[[#This Row],[Quantity]]*Table13[[#This Row],[UnitPrice]]*(1-Table13[[#This Row],[Discount]])</f>
        <v>3921.8659999999995</v>
      </c>
    </row>
    <row r="202" spans="1:14" x14ac:dyDescent="0.35">
      <c r="A202" s="4">
        <v>1145</v>
      </c>
      <c r="B202" s="5">
        <v>46028</v>
      </c>
      <c r="C202" s="6" t="s">
        <v>43</v>
      </c>
      <c r="D202" s="6" t="s">
        <v>31</v>
      </c>
      <c r="E202" s="6" t="s">
        <v>92</v>
      </c>
      <c r="F202" s="6" t="s">
        <v>17</v>
      </c>
      <c r="G202" s="6" t="s">
        <v>18</v>
      </c>
      <c r="H202" s="4">
        <v>14</v>
      </c>
      <c r="I202" s="4">
        <v>341.26</v>
      </c>
      <c r="J202" s="4">
        <v>0.05</v>
      </c>
      <c r="K202" s="7">
        <v>4538.76</v>
      </c>
      <c r="L202" s="6" t="s">
        <v>19</v>
      </c>
      <c r="M202" s="6" t="s">
        <v>20</v>
      </c>
      <c r="N202" s="7">
        <f>Table13[[#This Row],[Quantity]]*Table13[[#This Row],[UnitPrice]]*(1-Table13[[#This Row],[Discount]])</f>
        <v>4538.7579999999989</v>
      </c>
    </row>
    <row r="203" spans="1:14" hidden="1" x14ac:dyDescent="0.35">
      <c r="A203" s="8">
        <v>1146</v>
      </c>
      <c r="B203" s="2">
        <v>46030</v>
      </c>
      <c r="C203" t="s">
        <v>21</v>
      </c>
      <c r="D203" t="s">
        <v>31</v>
      </c>
      <c r="E203" t="s">
        <v>114</v>
      </c>
      <c r="F203" t="s">
        <v>17</v>
      </c>
      <c r="G203" t="s">
        <v>30</v>
      </c>
      <c r="H203" s="8">
        <v>1</v>
      </c>
      <c r="I203" s="8">
        <v>536.55999999999995</v>
      </c>
      <c r="J203" s="8">
        <v>0.1</v>
      </c>
      <c r="K203" s="3">
        <v>482.9</v>
      </c>
      <c r="L203" t="s">
        <v>35</v>
      </c>
      <c r="M203" t="s">
        <v>20</v>
      </c>
      <c r="N203" s="3">
        <f>Table13[[#This Row],[Quantity]]*Table13[[#This Row],[UnitPrice]]*(1-Table13[[#This Row],[Discount]])</f>
        <v>482.90399999999994</v>
      </c>
    </row>
    <row r="204" spans="1:14" hidden="1" x14ac:dyDescent="0.35">
      <c r="A204" s="8">
        <v>1205</v>
      </c>
      <c r="B204" s="2">
        <v>46031</v>
      </c>
      <c r="C204" t="s">
        <v>21</v>
      </c>
      <c r="D204" t="s">
        <v>28</v>
      </c>
      <c r="E204" t="s">
        <v>51</v>
      </c>
      <c r="F204" t="s">
        <v>33</v>
      </c>
      <c r="G204" t="s">
        <v>53</v>
      </c>
      <c r="H204" s="8">
        <v>2</v>
      </c>
      <c r="I204" s="8">
        <v>919.46</v>
      </c>
      <c r="J204" s="8">
        <v>0.05</v>
      </c>
      <c r="K204" s="3">
        <v>1746.97</v>
      </c>
      <c r="L204" t="s">
        <v>19</v>
      </c>
      <c r="M204" t="s">
        <v>26</v>
      </c>
      <c r="N204" s="3">
        <f>Table13[[#This Row],[Quantity]]*Table13[[#This Row],[UnitPrice]]*(1-Table13[[#This Row],[Discount]])</f>
        <v>1746.9739999999999</v>
      </c>
    </row>
    <row r="205" spans="1:14" hidden="1" x14ac:dyDescent="0.35">
      <c r="A205" s="8">
        <v>1041</v>
      </c>
      <c r="B205" s="2">
        <v>46031</v>
      </c>
      <c r="C205" t="s">
        <v>27</v>
      </c>
      <c r="D205" t="s">
        <v>54</v>
      </c>
      <c r="E205" t="s">
        <v>72</v>
      </c>
      <c r="F205" t="s">
        <v>33</v>
      </c>
      <c r="G205" t="s">
        <v>53</v>
      </c>
      <c r="H205" s="8">
        <v>2</v>
      </c>
      <c r="I205" s="8">
        <v>24.82</v>
      </c>
      <c r="J205" s="8">
        <v>0.15</v>
      </c>
      <c r="K205" s="3">
        <v>42.19</v>
      </c>
      <c r="L205" t="s">
        <v>39</v>
      </c>
      <c r="M205" t="s">
        <v>26</v>
      </c>
      <c r="N205" s="3">
        <f>Table13[[#This Row],[Quantity]]*Table13[[#This Row],[UnitPrice]]*(1-Table13[[#This Row],[Discount]])</f>
        <v>42.194000000000003</v>
      </c>
    </row>
    <row r="206" spans="1:14" hidden="1" x14ac:dyDescent="0.35">
      <c r="A206" s="8">
        <v>1264</v>
      </c>
      <c r="B206" s="2">
        <v>46032</v>
      </c>
      <c r="C206" t="s">
        <v>21</v>
      </c>
      <c r="D206" t="s">
        <v>28</v>
      </c>
      <c r="E206" t="s">
        <v>78</v>
      </c>
      <c r="F206" t="s">
        <v>24</v>
      </c>
      <c r="G206" t="s">
        <v>63</v>
      </c>
      <c r="H206" s="8">
        <v>14</v>
      </c>
      <c r="I206" s="8">
        <v>947.28</v>
      </c>
      <c r="J206" s="8">
        <v>0.05</v>
      </c>
      <c r="K206" s="3">
        <v>12598.82</v>
      </c>
      <c r="L206" t="s">
        <v>35</v>
      </c>
      <c r="M206" t="s">
        <v>36</v>
      </c>
      <c r="N206" s="3">
        <f>Table13[[#This Row],[Quantity]]*Table13[[#This Row],[UnitPrice]]*(1-Table13[[#This Row],[Discount]])</f>
        <v>12598.823999999999</v>
      </c>
    </row>
    <row r="207" spans="1:14" hidden="1" x14ac:dyDescent="0.35">
      <c r="A207" s="8">
        <v>1077</v>
      </c>
      <c r="B207" s="2">
        <v>46032</v>
      </c>
      <c r="C207" t="s">
        <v>21</v>
      </c>
      <c r="D207" t="s">
        <v>28</v>
      </c>
      <c r="E207" t="s">
        <v>118</v>
      </c>
      <c r="F207" t="s">
        <v>33</v>
      </c>
      <c r="G207" t="s">
        <v>53</v>
      </c>
      <c r="H207" s="8">
        <v>9</v>
      </c>
      <c r="I207" s="8">
        <v>819.45</v>
      </c>
      <c r="J207" s="8">
        <v>0.1</v>
      </c>
      <c r="K207" s="3">
        <v>6637.55</v>
      </c>
      <c r="L207" t="s">
        <v>39</v>
      </c>
      <c r="M207" t="s">
        <v>36</v>
      </c>
      <c r="N207" s="3">
        <f>Table13[[#This Row],[Quantity]]*Table13[[#This Row],[UnitPrice]]*(1-Table13[[#This Row],[Discount]])</f>
        <v>6637.5450000000001</v>
      </c>
    </row>
    <row r="208" spans="1:14" hidden="1" x14ac:dyDescent="0.35">
      <c r="A208" s="8">
        <v>1121</v>
      </c>
      <c r="B208" s="2">
        <v>46032</v>
      </c>
      <c r="C208" t="s">
        <v>27</v>
      </c>
      <c r="D208" t="s">
        <v>54</v>
      </c>
      <c r="E208" t="s">
        <v>29</v>
      </c>
      <c r="F208" t="s">
        <v>24</v>
      </c>
      <c r="G208" t="s">
        <v>25</v>
      </c>
      <c r="H208" s="8">
        <v>3</v>
      </c>
      <c r="I208" s="8">
        <v>78.92</v>
      </c>
      <c r="J208" s="8">
        <v>0.15</v>
      </c>
      <c r="K208" s="3">
        <v>201.25</v>
      </c>
      <c r="L208" t="s">
        <v>19</v>
      </c>
      <c r="M208" t="s">
        <v>36</v>
      </c>
      <c r="N208" s="3">
        <f>Table13[[#This Row],[Quantity]]*Table13[[#This Row],[UnitPrice]]*(1-Table13[[#This Row],[Discount]])</f>
        <v>201.24599999999998</v>
      </c>
    </row>
    <row r="209" spans="1:14" x14ac:dyDescent="0.35">
      <c r="A209" s="4">
        <v>1294</v>
      </c>
      <c r="B209" s="5">
        <v>46035</v>
      </c>
      <c r="C209" s="6" t="s">
        <v>43</v>
      </c>
      <c r="D209" s="6" t="s">
        <v>31</v>
      </c>
      <c r="E209" s="6" t="s">
        <v>118</v>
      </c>
      <c r="F209" s="6" t="s">
        <v>17</v>
      </c>
      <c r="G209" s="6" t="s">
        <v>18</v>
      </c>
      <c r="H209" s="4">
        <v>6</v>
      </c>
      <c r="I209" s="4">
        <v>348.5</v>
      </c>
      <c r="J209" s="4">
        <v>0</v>
      </c>
      <c r="K209" s="7">
        <v>2091</v>
      </c>
      <c r="L209" s="6" t="s">
        <v>39</v>
      </c>
      <c r="M209" s="6" t="s">
        <v>20</v>
      </c>
      <c r="N209" s="7">
        <f>Table13[[#This Row],[Quantity]]*Table13[[#This Row],[UnitPrice]]*(1-Table13[[#This Row],[Discount]])</f>
        <v>2091</v>
      </c>
    </row>
    <row r="210" spans="1:14" hidden="1" x14ac:dyDescent="0.35">
      <c r="A210" s="8">
        <v>1133</v>
      </c>
      <c r="B210" s="2">
        <v>46036</v>
      </c>
      <c r="C210" t="s">
        <v>14</v>
      </c>
      <c r="D210" t="s">
        <v>15</v>
      </c>
      <c r="E210" t="s">
        <v>86</v>
      </c>
      <c r="F210" t="s">
        <v>24</v>
      </c>
      <c r="G210" t="s">
        <v>38</v>
      </c>
      <c r="H210" s="8">
        <v>10</v>
      </c>
      <c r="I210" s="8">
        <v>1088.83</v>
      </c>
      <c r="J210" s="8">
        <v>0.1</v>
      </c>
      <c r="K210" s="3">
        <v>9799.4699999999993</v>
      </c>
      <c r="L210" t="s">
        <v>19</v>
      </c>
      <c r="M210" t="s">
        <v>36</v>
      </c>
      <c r="N210" s="3">
        <f>Table13[[#This Row],[Quantity]]*Table13[[#This Row],[UnitPrice]]*(1-Table13[[#This Row],[Discount]])</f>
        <v>9799.4699999999993</v>
      </c>
    </row>
    <row r="211" spans="1:14" hidden="1" x14ac:dyDescent="0.35">
      <c r="A211" s="8">
        <v>1278</v>
      </c>
      <c r="B211" s="2">
        <v>46036</v>
      </c>
      <c r="C211" t="s">
        <v>27</v>
      </c>
      <c r="D211" t="s">
        <v>31</v>
      </c>
      <c r="E211" t="s">
        <v>119</v>
      </c>
      <c r="F211" t="s">
        <v>33</v>
      </c>
      <c r="G211" t="s">
        <v>61</v>
      </c>
      <c r="H211" s="8">
        <v>4</v>
      </c>
      <c r="I211" s="8">
        <v>209.36</v>
      </c>
      <c r="J211" s="8">
        <v>0</v>
      </c>
      <c r="K211" s="3">
        <v>837.44</v>
      </c>
      <c r="L211" t="s">
        <v>35</v>
      </c>
      <c r="M211" t="s">
        <v>20</v>
      </c>
      <c r="N211" s="3">
        <f>Table13[[#This Row],[Quantity]]*Table13[[#This Row],[UnitPrice]]*(1-Table13[[#This Row],[Discount]])</f>
        <v>837.44</v>
      </c>
    </row>
    <row r="212" spans="1:14" hidden="1" x14ac:dyDescent="0.35">
      <c r="A212" s="8">
        <v>1192</v>
      </c>
      <c r="B212" s="2">
        <v>46038</v>
      </c>
      <c r="C212" t="s">
        <v>14</v>
      </c>
      <c r="D212" t="s">
        <v>28</v>
      </c>
      <c r="E212" t="s">
        <v>112</v>
      </c>
      <c r="F212" t="s">
        <v>24</v>
      </c>
      <c r="G212" t="s">
        <v>63</v>
      </c>
      <c r="H212" s="8">
        <v>10</v>
      </c>
      <c r="I212" s="8">
        <v>825.57</v>
      </c>
      <c r="J212" s="8">
        <v>0.05</v>
      </c>
      <c r="K212" s="3">
        <v>7842.91</v>
      </c>
      <c r="L212" t="s">
        <v>39</v>
      </c>
      <c r="M212" t="s">
        <v>26</v>
      </c>
      <c r="N212" s="3">
        <f>Table13[[#This Row],[Quantity]]*Table13[[#This Row],[UnitPrice]]*(1-Table13[[#This Row],[Discount]])</f>
        <v>7842.915</v>
      </c>
    </row>
    <row r="213" spans="1:14" hidden="1" x14ac:dyDescent="0.35">
      <c r="A213" s="8">
        <v>1179</v>
      </c>
      <c r="B213" s="2">
        <v>46038</v>
      </c>
      <c r="C213" t="s">
        <v>21</v>
      </c>
      <c r="D213" t="s">
        <v>22</v>
      </c>
      <c r="E213" t="s">
        <v>115</v>
      </c>
      <c r="F213" t="s">
        <v>17</v>
      </c>
      <c r="G213" t="s">
        <v>46</v>
      </c>
      <c r="H213" s="8">
        <v>13</v>
      </c>
      <c r="I213" s="8">
        <v>337.8</v>
      </c>
      <c r="J213" s="8">
        <v>0.05</v>
      </c>
      <c r="K213" s="3">
        <v>4171.83</v>
      </c>
      <c r="L213" t="s">
        <v>19</v>
      </c>
      <c r="M213" t="s">
        <v>36</v>
      </c>
      <c r="N213" s="3">
        <f>Table13[[#This Row],[Quantity]]*Table13[[#This Row],[UnitPrice]]*(1-Table13[[#This Row],[Discount]])</f>
        <v>4171.83</v>
      </c>
    </row>
    <row r="214" spans="1:14" hidden="1" x14ac:dyDescent="0.35">
      <c r="A214" s="8">
        <v>1150</v>
      </c>
      <c r="B214" s="2">
        <v>46039</v>
      </c>
      <c r="C214" t="s">
        <v>21</v>
      </c>
      <c r="D214" t="s">
        <v>54</v>
      </c>
      <c r="E214" t="s">
        <v>84</v>
      </c>
      <c r="F214" t="s">
        <v>17</v>
      </c>
      <c r="G214" t="s">
        <v>30</v>
      </c>
      <c r="H214" s="8">
        <v>10</v>
      </c>
      <c r="I214" s="8">
        <v>293.95</v>
      </c>
      <c r="J214" s="8">
        <v>0</v>
      </c>
      <c r="K214" s="3">
        <v>2939.5</v>
      </c>
      <c r="L214" t="s">
        <v>19</v>
      </c>
      <c r="M214" t="s">
        <v>26</v>
      </c>
      <c r="N214" s="3">
        <f>Table13[[#This Row],[Quantity]]*Table13[[#This Row],[UnitPrice]]*(1-Table13[[#This Row],[Discount]])</f>
        <v>2939.5</v>
      </c>
    </row>
    <row r="215" spans="1:14" hidden="1" x14ac:dyDescent="0.35">
      <c r="A215" s="8">
        <v>1213</v>
      </c>
      <c r="B215" s="2">
        <v>46049</v>
      </c>
      <c r="C215" t="s">
        <v>14</v>
      </c>
      <c r="D215" t="s">
        <v>31</v>
      </c>
      <c r="E215" t="s">
        <v>115</v>
      </c>
      <c r="F215" t="s">
        <v>24</v>
      </c>
      <c r="G215" t="s">
        <v>38</v>
      </c>
      <c r="H215" s="8">
        <v>11</v>
      </c>
      <c r="I215" s="8">
        <v>920.43</v>
      </c>
      <c r="J215" s="8">
        <v>0.15</v>
      </c>
      <c r="K215" s="3">
        <v>8606.02</v>
      </c>
      <c r="L215" t="s">
        <v>19</v>
      </c>
      <c r="M215" t="s">
        <v>26</v>
      </c>
      <c r="N215" s="3">
        <f>Table13[[#This Row],[Quantity]]*Table13[[#This Row],[UnitPrice]]*(1-Table13[[#This Row],[Discount]])</f>
        <v>8606.0204999999987</v>
      </c>
    </row>
    <row r="216" spans="1:14" hidden="1" x14ac:dyDescent="0.35">
      <c r="A216" s="8">
        <v>1016</v>
      </c>
      <c r="B216" s="2">
        <v>46050</v>
      </c>
      <c r="C216" t="s">
        <v>21</v>
      </c>
      <c r="D216" t="s">
        <v>31</v>
      </c>
      <c r="E216" t="s">
        <v>67</v>
      </c>
      <c r="F216" t="s">
        <v>33</v>
      </c>
      <c r="G216" t="s">
        <v>61</v>
      </c>
      <c r="H216" s="8">
        <v>15</v>
      </c>
      <c r="I216" s="8">
        <v>1045.4100000000001</v>
      </c>
      <c r="J216" s="8">
        <v>0</v>
      </c>
      <c r="K216" s="3">
        <v>15681.15</v>
      </c>
      <c r="L216" t="s">
        <v>19</v>
      </c>
      <c r="M216" t="s">
        <v>26</v>
      </c>
      <c r="N216" s="3">
        <f>Table13[[#This Row],[Quantity]]*Table13[[#This Row],[UnitPrice]]*(1-Table13[[#This Row],[Discount]])</f>
        <v>15681.150000000001</v>
      </c>
    </row>
    <row r="217" spans="1:14" hidden="1" x14ac:dyDescent="0.35">
      <c r="A217" s="8">
        <v>1211</v>
      </c>
      <c r="B217" s="2">
        <v>46053</v>
      </c>
      <c r="C217" t="s">
        <v>27</v>
      </c>
      <c r="D217" t="s">
        <v>54</v>
      </c>
      <c r="E217" t="s">
        <v>67</v>
      </c>
      <c r="F217" t="s">
        <v>17</v>
      </c>
      <c r="G217" t="s">
        <v>46</v>
      </c>
      <c r="H217" s="8">
        <v>11</v>
      </c>
      <c r="I217" s="8">
        <v>1008.74</v>
      </c>
      <c r="J217" s="8">
        <v>0.05</v>
      </c>
      <c r="K217" s="3">
        <v>10541.33</v>
      </c>
      <c r="L217" t="s">
        <v>35</v>
      </c>
      <c r="M217" t="s">
        <v>36</v>
      </c>
      <c r="N217" s="3">
        <f>Table13[[#This Row],[Quantity]]*Table13[[#This Row],[UnitPrice]]*(1-Table13[[#This Row],[Discount]])</f>
        <v>10541.332999999999</v>
      </c>
    </row>
    <row r="218" spans="1:14" hidden="1" x14ac:dyDescent="0.35">
      <c r="A218" s="8">
        <v>1283</v>
      </c>
      <c r="B218" s="2">
        <v>46053</v>
      </c>
      <c r="C218" t="s">
        <v>27</v>
      </c>
      <c r="D218" t="s">
        <v>54</v>
      </c>
      <c r="E218" t="s">
        <v>49</v>
      </c>
      <c r="F218" t="s">
        <v>17</v>
      </c>
      <c r="G218" t="s">
        <v>46</v>
      </c>
      <c r="H218" s="8">
        <v>1</v>
      </c>
      <c r="I218" s="8">
        <v>1110.3699999999999</v>
      </c>
      <c r="J218" s="8">
        <v>0.1</v>
      </c>
      <c r="K218" s="3">
        <v>999.33</v>
      </c>
      <c r="L218" t="s">
        <v>39</v>
      </c>
      <c r="M218" t="s">
        <v>36</v>
      </c>
      <c r="N218" s="3">
        <f>Table13[[#This Row],[Quantity]]*Table13[[#This Row],[UnitPrice]]*(1-Table13[[#This Row],[Discount]])</f>
        <v>999.33299999999997</v>
      </c>
    </row>
    <row r="219" spans="1:14" hidden="1" x14ac:dyDescent="0.35">
      <c r="A219" s="8">
        <v>1165</v>
      </c>
      <c r="B219" s="2">
        <v>46058</v>
      </c>
      <c r="C219" t="s">
        <v>21</v>
      </c>
      <c r="D219" t="s">
        <v>47</v>
      </c>
      <c r="E219" t="s">
        <v>111</v>
      </c>
      <c r="F219" t="s">
        <v>17</v>
      </c>
      <c r="G219" t="s">
        <v>18</v>
      </c>
      <c r="H219" s="8">
        <v>2</v>
      </c>
      <c r="I219" s="8">
        <v>436.09</v>
      </c>
      <c r="J219" s="8">
        <v>0.15</v>
      </c>
      <c r="K219" s="3">
        <v>741.35</v>
      </c>
      <c r="L219" t="s">
        <v>19</v>
      </c>
      <c r="M219" t="s">
        <v>26</v>
      </c>
      <c r="N219" s="3">
        <f>Table13[[#This Row],[Quantity]]*Table13[[#This Row],[UnitPrice]]*(1-Table13[[#This Row],[Discount]])</f>
        <v>741.35299999999995</v>
      </c>
    </row>
    <row r="220" spans="1:14" hidden="1" x14ac:dyDescent="0.35">
      <c r="A220" s="8">
        <v>1011</v>
      </c>
      <c r="B220" s="2">
        <v>46059</v>
      </c>
      <c r="C220" t="s">
        <v>14</v>
      </c>
      <c r="D220" t="s">
        <v>47</v>
      </c>
      <c r="E220" t="s">
        <v>74</v>
      </c>
      <c r="F220" t="s">
        <v>24</v>
      </c>
      <c r="G220" t="s">
        <v>63</v>
      </c>
      <c r="H220" s="8">
        <v>7</v>
      </c>
      <c r="I220" s="8">
        <v>676</v>
      </c>
      <c r="J220" s="8">
        <v>0.05</v>
      </c>
      <c r="K220" s="3">
        <v>4495.3999999999996</v>
      </c>
      <c r="L220" t="s">
        <v>19</v>
      </c>
      <c r="M220" t="s">
        <v>36</v>
      </c>
      <c r="N220" s="3">
        <f>Table13[[#This Row],[Quantity]]*Table13[[#This Row],[UnitPrice]]*(1-Table13[[#This Row],[Discount]])</f>
        <v>4495.3999999999996</v>
      </c>
    </row>
    <row r="221" spans="1:14" hidden="1" x14ac:dyDescent="0.35">
      <c r="A221" s="8">
        <v>1162</v>
      </c>
      <c r="B221" s="2">
        <v>46060</v>
      </c>
      <c r="C221" t="s">
        <v>14</v>
      </c>
      <c r="D221" t="s">
        <v>54</v>
      </c>
      <c r="E221" t="s">
        <v>48</v>
      </c>
      <c r="F221" t="s">
        <v>33</v>
      </c>
      <c r="G221" t="s">
        <v>61</v>
      </c>
      <c r="H221" s="8">
        <v>9</v>
      </c>
      <c r="I221" s="8">
        <v>912.23</v>
      </c>
      <c r="J221" s="8">
        <v>0.15</v>
      </c>
      <c r="K221" s="3">
        <v>6978.56</v>
      </c>
      <c r="L221" t="s">
        <v>39</v>
      </c>
      <c r="M221" t="s">
        <v>20</v>
      </c>
      <c r="N221" s="3">
        <f>Table13[[#This Row],[Quantity]]*Table13[[#This Row],[UnitPrice]]*(1-Table13[[#This Row],[Discount]])</f>
        <v>6978.5594999999994</v>
      </c>
    </row>
    <row r="222" spans="1:14" hidden="1" x14ac:dyDescent="0.35">
      <c r="A222" s="8">
        <v>1079</v>
      </c>
      <c r="B222" s="2">
        <v>46061</v>
      </c>
      <c r="C222" t="s">
        <v>21</v>
      </c>
      <c r="D222" t="s">
        <v>47</v>
      </c>
      <c r="E222" t="s">
        <v>120</v>
      </c>
      <c r="F222" t="s">
        <v>33</v>
      </c>
      <c r="G222" t="s">
        <v>34</v>
      </c>
      <c r="H222" s="8">
        <v>2</v>
      </c>
      <c r="I222" s="8">
        <v>602.16</v>
      </c>
      <c r="J222" s="8">
        <v>0.1</v>
      </c>
      <c r="K222" s="3">
        <v>1083.8900000000001</v>
      </c>
      <c r="L222" t="s">
        <v>39</v>
      </c>
      <c r="M222" t="s">
        <v>20</v>
      </c>
      <c r="N222" s="3">
        <f>Table13[[#This Row],[Quantity]]*Table13[[#This Row],[UnitPrice]]*(1-Table13[[#This Row],[Discount]])</f>
        <v>1083.8879999999999</v>
      </c>
    </row>
    <row r="223" spans="1:14" hidden="1" x14ac:dyDescent="0.35">
      <c r="A223" s="8">
        <v>1196</v>
      </c>
      <c r="B223" s="2">
        <v>46064</v>
      </c>
      <c r="C223" t="s">
        <v>21</v>
      </c>
      <c r="D223" t="s">
        <v>28</v>
      </c>
      <c r="E223" t="s">
        <v>55</v>
      </c>
      <c r="F223" t="s">
        <v>33</v>
      </c>
      <c r="G223" t="s">
        <v>61</v>
      </c>
      <c r="H223" s="8">
        <v>13</v>
      </c>
      <c r="I223" s="8">
        <v>726.17</v>
      </c>
      <c r="J223" s="8">
        <v>0</v>
      </c>
      <c r="K223" s="3">
        <v>9440.2099999999991</v>
      </c>
      <c r="L223" t="s">
        <v>35</v>
      </c>
      <c r="M223" t="s">
        <v>26</v>
      </c>
      <c r="N223" s="3">
        <f>Table13[[#This Row],[Quantity]]*Table13[[#This Row],[UnitPrice]]*(1-Table13[[#This Row],[Discount]])</f>
        <v>9440.2099999999991</v>
      </c>
    </row>
    <row r="224" spans="1:14" hidden="1" x14ac:dyDescent="0.35">
      <c r="A224" s="8">
        <v>1127</v>
      </c>
      <c r="B224" s="2">
        <v>46065</v>
      </c>
      <c r="C224" t="s">
        <v>21</v>
      </c>
      <c r="D224" t="s">
        <v>54</v>
      </c>
      <c r="E224" t="s">
        <v>82</v>
      </c>
      <c r="F224" t="s">
        <v>33</v>
      </c>
      <c r="G224" t="s">
        <v>61</v>
      </c>
      <c r="H224" s="8">
        <v>10</v>
      </c>
      <c r="I224" s="8">
        <v>256.5</v>
      </c>
      <c r="J224" s="8">
        <v>0.15</v>
      </c>
      <c r="K224" s="3">
        <v>2180.25</v>
      </c>
      <c r="L224" t="s">
        <v>35</v>
      </c>
      <c r="M224" t="s">
        <v>20</v>
      </c>
      <c r="N224" s="3">
        <f>Table13[[#This Row],[Quantity]]*Table13[[#This Row],[UnitPrice]]*(1-Table13[[#This Row],[Discount]])</f>
        <v>2180.25</v>
      </c>
    </row>
    <row r="225" spans="1:14" hidden="1" x14ac:dyDescent="0.35">
      <c r="A225" s="8">
        <v>1248</v>
      </c>
      <c r="B225" s="2">
        <v>46066</v>
      </c>
      <c r="C225" t="s">
        <v>21</v>
      </c>
      <c r="D225" t="s">
        <v>28</v>
      </c>
      <c r="E225" t="s">
        <v>88</v>
      </c>
      <c r="F225" t="s">
        <v>33</v>
      </c>
      <c r="G225" t="s">
        <v>53</v>
      </c>
      <c r="H225" s="8">
        <v>10</v>
      </c>
      <c r="I225" s="8">
        <v>338.87</v>
      </c>
      <c r="J225" s="8">
        <v>0</v>
      </c>
      <c r="K225" s="3">
        <v>3388.7</v>
      </c>
      <c r="L225" t="s">
        <v>35</v>
      </c>
      <c r="M225" t="s">
        <v>26</v>
      </c>
      <c r="N225" s="3">
        <f>Table13[[#This Row],[Quantity]]*Table13[[#This Row],[UnitPrice]]*(1-Table13[[#This Row],[Discount]])</f>
        <v>3388.7</v>
      </c>
    </row>
    <row r="226" spans="1:14" x14ac:dyDescent="0.35">
      <c r="A226" s="4">
        <v>1103</v>
      </c>
      <c r="B226" s="5">
        <v>46070</v>
      </c>
      <c r="C226" s="6" t="s">
        <v>43</v>
      </c>
      <c r="D226" s="6" t="s">
        <v>28</v>
      </c>
      <c r="E226" s="6" t="s">
        <v>62</v>
      </c>
      <c r="F226" s="6" t="s">
        <v>33</v>
      </c>
      <c r="G226" s="6" t="s">
        <v>61</v>
      </c>
      <c r="H226" s="4">
        <v>11</v>
      </c>
      <c r="I226" s="4">
        <v>414.53</v>
      </c>
      <c r="J226" s="4">
        <v>0.1</v>
      </c>
      <c r="K226" s="7">
        <v>4103.8500000000004</v>
      </c>
      <c r="L226" s="6" t="s">
        <v>19</v>
      </c>
      <c r="M226" s="6" t="s">
        <v>26</v>
      </c>
      <c r="N226" s="7">
        <f>Table13[[#This Row],[Quantity]]*Table13[[#This Row],[UnitPrice]]*(1-Table13[[#This Row],[Discount]])</f>
        <v>4103.8469999999998</v>
      </c>
    </row>
    <row r="227" spans="1:14" hidden="1" x14ac:dyDescent="0.35">
      <c r="A227" s="8">
        <v>1175</v>
      </c>
      <c r="B227" s="2">
        <v>46071</v>
      </c>
      <c r="C227" t="s">
        <v>14</v>
      </c>
      <c r="D227" t="s">
        <v>28</v>
      </c>
      <c r="E227" t="s">
        <v>48</v>
      </c>
      <c r="F227" t="s">
        <v>24</v>
      </c>
      <c r="G227" t="s">
        <v>63</v>
      </c>
      <c r="H227" s="8">
        <v>3</v>
      </c>
      <c r="I227" s="8">
        <v>121.71</v>
      </c>
      <c r="J227" s="8">
        <v>0.15</v>
      </c>
      <c r="K227" s="3">
        <v>310.36</v>
      </c>
      <c r="L227" t="s">
        <v>19</v>
      </c>
      <c r="M227" t="s">
        <v>26</v>
      </c>
      <c r="N227" s="3">
        <f>Table13[[#This Row],[Quantity]]*Table13[[#This Row],[UnitPrice]]*(1-Table13[[#This Row],[Discount]])</f>
        <v>310.3605</v>
      </c>
    </row>
    <row r="228" spans="1:14" hidden="1" x14ac:dyDescent="0.35">
      <c r="A228" s="8">
        <v>1227</v>
      </c>
      <c r="B228" s="2">
        <v>46072</v>
      </c>
      <c r="C228" t="s">
        <v>14</v>
      </c>
      <c r="D228" t="s">
        <v>22</v>
      </c>
      <c r="E228" t="s">
        <v>97</v>
      </c>
      <c r="F228" t="s">
        <v>17</v>
      </c>
      <c r="G228" t="s">
        <v>18</v>
      </c>
      <c r="H228" s="8">
        <v>10</v>
      </c>
      <c r="I228" s="8">
        <v>236.9</v>
      </c>
      <c r="J228" s="8">
        <v>0</v>
      </c>
      <c r="K228" s="3">
        <v>2369</v>
      </c>
      <c r="L228" t="s">
        <v>39</v>
      </c>
      <c r="M228" t="s">
        <v>20</v>
      </c>
      <c r="N228" s="3">
        <f>Table13[[#This Row],[Quantity]]*Table13[[#This Row],[UnitPrice]]*(1-Table13[[#This Row],[Discount]])</f>
        <v>2369</v>
      </c>
    </row>
    <row r="229" spans="1:14" hidden="1" x14ac:dyDescent="0.35">
      <c r="A229" s="8">
        <v>1166</v>
      </c>
      <c r="B229" s="2">
        <v>46074</v>
      </c>
      <c r="C229" t="s">
        <v>21</v>
      </c>
      <c r="D229" t="s">
        <v>47</v>
      </c>
      <c r="E229" t="s">
        <v>113</v>
      </c>
      <c r="F229" t="s">
        <v>24</v>
      </c>
      <c r="G229" t="s">
        <v>63</v>
      </c>
      <c r="H229" s="8">
        <v>4</v>
      </c>
      <c r="I229" s="8">
        <v>357.46</v>
      </c>
      <c r="J229" s="8">
        <v>0</v>
      </c>
      <c r="K229" s="3">
        <v>1429.84</v>
      </c>
      <c r="L229" t="s">
        <v>39</v>
      </c>
      <c r="M229" t="s">
        <v>20</v>
      </c>
      <c r="N229" s="3">
        <f>Table13[[#This Row],[Quantity]]*Table13[[#This Row],[UnitPrice]]*(1-Table13[[#This Row],[Discount]])</f>
        <v>1429.84</v>
      </c>
    </row>
    <row r="230" spans="1:14" hidden="1" x14ac:dyDescent="0.35">
      <c r="A230" s="8">
        <v>1084</v>
      </c>
      <c r="B230" s="2">
        <v>46075</v>
      </c>
      <c r="C230" t="s">
        <v>27</v>
      </c>
      <c r="D230" t="s">
        <v>28</v>
      </c>
      <c r="E230" t="s">
        <v>84</v>
      </c>
      <c r="F230" t="s">
        <v>17</v>
      </c>
      <c r="G230" t="s">
        <v>30</v>
      </c>
      <c r="H230" s="8">
        <v>4</v>
      </c>
      <c r="I230" s="8">
        <v>1025.3</v>
      </c>
      <c r="J230" s="8">
        <v>0</v>
      </c>
      <c r="K230" s="3">
        <v>4101.2</v>
      </c>
      <c r="L230" t="s">
        <v>39</v>
      </c>
      <c r="M230" t="s">
        <v>36</v>
      </c>
      <c r="N230" s="3">
        <f>Table13[[#This Row],[Quantity]]*Table13[[#This Row],[UnitPrice]]*(1-Table13[[#This Row],[Discount]])</f>
        <v>4101.2</v>
      </c>
    </row>
    <row r="231" spans="1:14" hidden="1" x14ac:dyDescent="0.35">
      <c r="A231" s="8">
        <v>1126</v>
      </c>
      <c r="B231" s="2">
        <v>46075</v>
      </c>
      <c r="C231" t="s">
        <v>14</v>
      </c>
      <c r="D231" t="s">
        <v>15</v>
      </c>
      <c r="E231" t="s">
        <v>92</v>
      </c>
      <c r="F231" t="s">
        <v>33</v>
      </c>
      <c r="G231" t="s">
        <v>53</v>
      </c>
      <c r="H231" s="8">
        <v>4</v>
      </c>
      <c r="I231" s="8">
        <v>586.72</v>
      </c>
      <c r="J231" s="8">
        <v>0.15</v>
      </c>
      <c r="K231" s="3">
        <v>1994.85</v>
      </c>
      <c r="L231" t="s">
        <v>19</v>
      </c>
      <c r="M231" t="s">
        <v>26</v>
      </c>
      <c r="N231" s="3">
        <f>Table13[[#This Row],[Quantity]]*Table13[[#This Row],[UnitPrice]]*(1-Table13[[#This Row],[Discount]])</f>
        <v>1994.848</v>
      </c>
    </row>
    <row r="232" spans="1:14" hidden="1" x14ac:dyDescent="0.35">
      <c r="A232" s="8">
        <v>1014</v>
      </c>
      <c r="B232" s="2">
        <v>46080</v>
      </c>
      <c r="C232" t="s">
        <v>27</v>
      </c>
      <c r="D232" t="s">
        <v>15</v>
      </c>
      <c r="E232" t="s">
        <v>92</v>
      </c>
      <c r="F232" t="s">
        <v>24</v>
      </c>
      <c r="G232" t="s">
        <v>63</v>
      </c>
      <c r="H232" s="8">
        <v>15</v>
      </c>
      <c r="I232" s="8">
        <v>543.07000000000005</v>
      </c>
      <c r="J232" s="8">
        <v>0</v>
      </c>
      <c r="K232" s="3">
        <v>8146.05</v>
      </c>
      <c r="L232" t="s">
        <v>39</v>
      </c>
      <c r="M232" t="s">
        <v>20</v>
      </c>
      <c r="N232" s="3">
        <f>Table13[[#This Row],[Quantity]]*Table13[[#This Row],[UnitPrice]]*(1-Table13[[#This Row],[Discount]])</f>
        <v>8146.0500000000011</v>
      </c>
    </row>
    <row r="233" spans="1:14" hidden="1" x14ac:dyDescent="0.35">
      <c r="A233" s="8">
        <v>1087</v>
      </c>
      <c r="B233" s="2">
        <v>46081</v>
      </c>
      <c r="C233" t="s">
        <v>14</v>
      </c>
      <c r="D233" t="s">
        <v>47</v>
      </c>
      <c r="E233" t="s">
        <v>44</v>
      </c>
      <c r="F233" t="s">
        <v>24</v>
      </c>
      <c r="G233" t="s">
        <v>63</v>
      </c>
      <c r="H233" s="8">
        <v>4</v>
      </c>
      <c r="I233" s="8">
        <v>611.70000000000005</v>
      </c>
      <c r="J233" s="8">
        <v>0.1</v>
      </c>
      <c r="K233" s="3">
        <v>2202.12</v>
      </c>
      <c r="L233" t="s">
        <v>39</v>
      </c>
      <c r="M233" t="s">
        <v>36</v>
      </c>
      <c r="N233" s="3">
        <f>Table13[[#This Row],[Quantity]]*Table13[[#This Row],[UnitPrice]]*(1-Table13[[#This Row],[Discount]])</f>
        <v>2202.1200000000003</v>
      </c>
    </row>
    <row r="234" spans="1:14" hidden="1" x14ac:dyDescent="0.35">
      <c r="A234" s="8">
        <v>1092</v>
      </c>
      <c r="B234" s="2">
        <v>46083</v>
      </c>
      <c r="C234" t="s">
        <v>14</v>
      </c>
      <c r="D234" t="s">
        <v>15</v>
      </c>
      <c r="E234" t="s">
        <v>103</v>
      </c>
      <c r="F234" t="s">
        <v>17</v>
      </c>
      <c r="G234" t="s">
        <v>18</v>
      </c>
      <c r="H234" s="8">
        <v>14</v>
      </c>
      <c r="I234" s="8">
        <v>1177.07</v>
      </c>
      <c r="J234" s="8">
        <v>0.1</v>
      </c>
      <c r="K234" s="3">
        <v>14831.08</v>
      </c>
      <c r="L234" t="s">
        <v>19</v>
      </c>
      <c r="M234" t="s">
        <v>26</v>
      </c>
      <c r="N234" s="3">
        <f>Table13[[#This Row],[Quantity]]*Table13[[#This Row],[UnitPrice]]*(1-Table13[[#This Row],[Discount]])</f>
        <v>14831.082</v>
      </c>
    </row>
    <row r="235" spans="1:14" hidden="1" x14ac:dyDescent="0.35">
      <c r="A235" s="8">
        <v>1226</v>
      </c>
      <c r="B235" s="2">
        <v>46083</v>
      </c>
      <c r="C235" t="s">
        <v>21</v>
      </c>
      <c r="D235" t="s">
        <v>22</v>
      </c>
      <c r="E235" t="s">
        <v>121</v>
      </c>
      <c r="F235" t="s">
        <v>24</v>
      </c>
      <c r="G235" t="s">
        <v>38</v>
      </c>
      <c r="H235" s="8">
        <v>7</v>
      </c>
      <c r="I235" s="8">
        <v>408.56</v>
      </c>
      <c r="J235" s="8">
        <v>0.15</v>
      </c>
      <c r="K235" s="3">
        <v>2430.9299999999998</v>
      </c>
      <c r="L235" t="s">
        <v>35</v>
      </c>
      <c r="M235" t="s">
        <v>26</v>
      </c>
      <c r="N235" s="3">
        <f>Table13[[#This Row],[Quantity]]*Table13[[#This Row],[UnitPrice]]*(1-Table13[[#This Row],[Discount]])</f>
        <v>2430.9319999999998</v>
      </c>
    </row>
    <row r="236" spans="1:14" hidden="1" x14ac:dyDescent="0.35">
      <c r="A236" s="8">
        <v>1217</v>
      </c>
      <c r="B236" s="2">
        <v>46083</v>
      </c>
      <c r="C236" t="s">
        <v>27</v>
      </c>
      <c r="D236" t="s">
        <v>31</v>
      </c>
      <c r="E236" t="s">
        <v>50</v>
      </c>
      <c r="F236" t="s">
        <v>17</v>
      </c>
      <c r="G236" t="s">
        <v>30</v>
      </c>
      <c r="H236" s="8">
        <v>2</v>
      </c>
      <c r="I236" s="8">
        <v>561.78</v>
      </c>
      <c r="J236" s="8">
        <v>0</v>
      </c>
      <c r="K236" s="3">
        <v>1123.56</v>
      </c>
      <c r="L236" t="s">
        <v>35</v>
      </c>
      <c r="M236" t="s">
        <v>20</v>
      </c>
      <c r="N236" s="3">
        <f>Table13[[#This Row],[Quantity]]*Table13[[#This Row],[UnitPrice]]*(1-Table13[[#This Row],[Discount]])</f>
        <v>1123.56</v>
      </c>
    </row>
    <row r="237" spans="1:14" hidden="1" x14ac:dyDescent="0.35">
      <c r="A237" s="8">
        <v>1297</v>
      </c>
      <c r="B237" s="2">
        <v>46090</v>
      </c>
      <c r="C237" t="s">
        <v>27</v>
      </c>
      <c r="D237" t="s">
        <v>54</v>
      </c>
      <c r="E237" t="s">
        <v>85</v>
      </c>
      <c r="F237" t="s">
        <v>33</v>
      </c>
      <c r="G237" t="s">
        <v>34</v>
      </c>
      <c r="H237" s="8">
        <v>5</v>
      </c>
      <c r="I237" s="8">
        <v>917.07</v>
      </c>
      <c r="J237" s="8">
        <v>0.05</v>
      </c>
      <c r="K237" s="3">
        <v>4356.08</v>
      </c>
      <c r="L237" t="s">
        <v>39</v>
      </c>
      <c r="M237" t="s">
        <v>20</v>
      </c>
      <c r="N237" s="3">
        <f>Table13[[#This Row],[Quantity]]*Table13[[#This Row],[UnitPrice]]*(1-Table13[[#This Row],[Discount]])</f>
        <v>4356.0825000000004</v>
      </c>
    </row>
    <row r="238" spans="1:14" hidden="1" x14ac:dyDescent="0.35">
      <c r="A238" s="8">
        <v>1239</v>
      </c>
      <c r="B238" s="2">
        <v>46090</v>
      </c>
      <c r="C238" t="s">
        <v>14</v>
      </c>
      <c r="D238" t="s">
        <v>22</v>
      </c>
      <c r="E238" t="s">
        <v>102</v>
      </c>
      <c r="F238" t="s">
        <v>33</v>
      </c>
      <c r="G238" t="s">
        <v>53</v>
      </c>
      <c r="H238" s="8">
        <v>6</v>
      </c>
      <c r="I238" s="8">
        <v>751.3</v>
      </c>
      <c r="J238" s="8">
        <v>0.05</v>
      </c>
      <c r="K238" s="3">
        <v>4282.41</v>
      </c>
      <c r="L238" t="s">
        <v>39</v>
      </c>
      <c r="M238" t="s">
        <v>26</v>
      </c>
      <c r="N238" s="3">
        <f>Table13[[#This Row],[Quantity]]*Table13[[#This Row],[UnitPrice]]*(1-Table13[[#This Row],[Discount]])</f>
        <v>4282.4099999999989</v>
      </c>
    </row>
    <row r="239" spans="1:14" hidden="1" x14ac:dyDescent="0.35">
      <c r="A239" s="8">
        <v>1081</v>
      </c>
      <c r="B239" s="2">
        <v>46094</v>
      </c>
      <c r="C239" t="s">
        <v>21</v>
      </c>
      <c r="D239" t="s">
        <v>22</v>
      </c>
      <c r="E239" t="s">
        <v>122</v>
      </c>
      <c r="F239" t="s">
        <v>33</v>
      </c>
      <c r="G239" t="s">
        <v>34</v>
      </c>
      <c r="H239" s="8">
        <v>13</v>
      </c>
      <c r="I239" s="8">
        <v>775.95</v>
      </c>
      <c r="J239" s="8">
        <v>0</v>
      </c>
      <c r="K239" s="3">
        <v>10087.35</v>
      </c>
      <c r="L239" t="s">
        <v>35</v>
      </c>
      <c r="M239" t="s">
        <v>26</v>
      </c>
      <c r="N239" s="3">
        <f>Table13[[#This Row],[Quantity]]*Table13[[#This Row],[UnitPrice]]*(1-Table13[[#This Row],[Discount]])</f>
        <v>10087.35</v>
      </c>
    </row>
    <row r="240" spans="1:14" hidden="1" x14ac:dyDescent="0.35">
      <c r="A240" s="8">
        <v>1268</v>
      </c>
      <c r="B240" s="2">
        <v>46094</v>
      </c>
      <c r="C240" t="s">
        <v>14</v>
      </c>
      <c r="D240" t="s">
        <v>47</v>
      </c>
      <c r="E240" t="s">
        <v>55</v>
      </c>
      <c r="F240" t="s">
        <v>33</v>
      </c>
      <c r="G240" t="s">
        <v>61</v>
      </c>
      <c r="H240" s="8">
        <v>6</v>
      </c>
      <c r="I240" s="8">
        <v>76.27</v>
      </c>
      <c r="J240" s="8">
        <v>0.1</v>
      </c>
      <c r="K240" s="3">
        <v>411.86</v>
      </c>
      <c r="L240" t="s">
        <v>39</v>
      </c>
      <c r="M240" t="s">
        <v>36</v>
      </c>
      <c r="N240" s="3">
        <f>Table13[[#This Row],[Quantity]]*Table13[[#This Row],[UnitPrice]]*(1-Table13[[#This Row],[Discount]])</f>
        <v>411.858</v>
      </c>
    </row>
    <row r="241" spans="1:14" x14ac:dyDescent="0.35">
      <c r="A241" s="4">
        <v>1258</v>
      </c>
      <c r="B241" s="5">
        <v>46094</v>
      </c>
      <c r="C241" s="6" t="s">
        <v>43</v>
      </c>
      <c r="D241" s="6" t="s">
        <v>28</v>
      </c>
      <c r="E241" s="6" t="s">
        <v>121</v>
      </c>
      <c r="F241" s="6" t="s">
        <v>33</v>
      </c>
      <c r="G241" s="6" t="s">
        <v>61</v>
      </c>
      <c r="H241" s="4">
        <v>2</v>
      </c>
      <c r="I241" s="4">
        <v>42.23</v>
      </c>
      <c r="J241" s="4">
        <v>0</v>
      </c>
      <c r="K241" s="7">
        <v>84.46</v>
      </c>
      <c r="L241" s="6" t="s">
        <v>39</v>
      </c>
      <c r="M241" s="6" t="s">
        <v>36</v>
      </c>
      <c r="N241" s="7">
        <f>Table13[[#This Row],[Quantity]]*Table13[[#This Row],[UnitPrice]]*(1-Table13[[#This Row],[Discount]])</f>
        <v>84.46</v>
      </c>
    </row>
    <row r="242" spans="1:14" hidden="1" x14ac:dyDescent="0.35">
      <c r="A242" s="8">
        <v>1256</v>
      </c>
      <c r="B242" s="2">
        <v>46095</v>
      </c>
      <c r="C242" t="s">
        <v>14</v>
      </c>
      <c r="D242" t="s">
        <v>22</v>
      </c>
      <c r="E242" t="s">
        <v>64</v>
      </c>
      <c r="F242" t="s">
        <v>17</v>
      </c>
      <c r="G242" t="s">
        <v>18</v>
      </c>
      <c r="H242" s="8">
        <v>9</v>
      </c>
      <c r="I242" s="8">
        <v>489.98</v>
      </c>
      <c r="J242" s="8">
        <v>0</v>
      </c>
      <c r="K242" s="3">
        <v>4409.82</v>
      </c>
      <c r="L242" t="s">
        <v>39</v>
      </c>
      <c r="M242" t="s">
        <v>20</v>
      </c>
      <c r="N242" s="3">
        <f>Table13[[#This Row],[Quantity]]*Table13[[#This Row],[UnitPrice]]*(1-Table13[[#This Row],[Discount]])</f>
        <v>4409.82</v>
      </c>
    </row>
    <row r="243" spans="1:14" x14ac:dyDescent="0.35">
      <c r="A243" s="4">
        <v>1034</v>
      </c>
      <c r="B243" s="5">
        <v>46097</v>
      </c>
      <c r="C243" s="6" t="s">
        <v>43</v>
      </c>
      <c r="D243" s="6" t="s">
        <v>22</v>
      </c>
      <c r="E243" s="6" t="s">
        <v>73</v>
      </c>
      <c r="F243" s="6" t="s">
        <v>33</v>
      </c>
      <c r="G243" s="6" t="s">
        <v>34</v>
      </c>
      <c r="H243" s="4">
        <v>9</v>
      </c>
      <c r="I243" s="4">
        <v>583.97</v>
      </c>
      <c r="J243" s="4">
        <v>0.1</v>
      </c>
      <c r="K243" s="7">
        <v>4730.16</v>
      </c>
      <c r="L243" s="6" t="s">
        <v>19</v>
      </c>
      <c r="M243" s="6" t="s">
        <v>20</v>
      </c>
      <c r="N243" s="7">
        <f>Table13[[#This Row],[Quantity]]*Table13[[#This Row],[UnitPrice]]*(1-Table13[[#This Row],[Discount]])</f>
        <v>4730.1570000000002</v>
      </c>
    </row>
    <row r="244" spans="1:14" hidden="1" x14ac:dyDescent="0.35">
      <c r="A244" s="8">
        <v>1125</v>
      </c>
      <c r="B244" s="2">
        <v>46098</v>
      </c>
      <c r="C244" t="s">
        <v>27</v>
      </c>
      <c r="D244" t="s">
        <v>47</v>
      </c>
      <c r="E244" t="s">
        <v>80</v>
      </c>
      <c r="F244" t="s">
        <v>17</v>
      </c>
      <c r="G244" t="s">
        <v>18</v>
      </c>
      <c r="H244" s="8">
        <v>7</v>
      </c>
      <c r="I244" s="8">
        <v>989.45</v>
      </c>
      <c r="J244" s="8">
        <v>0</v>
      </c>
      <c r="K244" s="3">
        <v>6926.15</v>
      </c>
      <c r="L244" t="s">
        <v>35</v>
      </c>
      <c r="M244" t="s">
        <v>26</v>
      </c>
      <c r="N244" s="3">
        <f>Table13[[#This Row],[Quantity]]*Table13[[#This Row],[UnitPrice]]*(1-Table13[[#This Row],[Discount]])</f>
        <v>6926.1500000000005</v>
      </c>
    </row>
    <row r="245" spans="1:14" hidden="1" x14ac:dyDescent="0.35">
      <c r="A245" s="8">
        <v>1293</v>
      </c>
      <c r="B245" s="2">
        <v>46099</v>
      </c>
      <c r="C245" t="s">
        <v>14</v>
      </c>
      <c r="D245" t="s">
        <v>31</v>
      </c>
      <c r="E245" t="s">
        <v>90</v>
      </c>
      <c r="F245" t="s">
        <v>33</v>
      </c>
      <c r="G245" t="s">
        <v>53</v>
      </c>
      <c r="H245" s="8">
        <v>3</v>
      </c>
      <c r="I245" s="8">
        <v>870.87</v>
      </c>
      <c r="J245" s="8">
        <v>0.1</v>
      </c>
      <c r="K245" s="3">
        <v>2351.35</v>
      </c>
      <c r="L245" t="s">
        <v>39</v>
      </c>
      <c r="M245" t="s">
        <v>26</v>
      </c>
      <c r="N245" s="3">
        <f>Table13[[#This Row],[Quantity]]*Table13[[#This Row],[UnitPrice]]*(1-Table13[[#This Row],[Discount]])</f>
        <v>2351.3490000000002</v>
      </c>
    </row>
    <row r="246" spans="1:14" hidden="1" x14ac:dyDescent="0.35">
      <c r="A246" s="8">
        <v>1259</v>
      </c>
      <c r="B246" s="2">
        <v>46100</v>
      </c>
      <c r="C246" t="s">
        <v>21</v>
      </c>
      <c r="D246" t="s">
        <v>54</v>
      </c>
      <c r="E246" t="s">
        <v>123</v>
      </c>
      <c r="F246" t="s">
        <v>24</v>
      </c>
      <c r="G246" t="s">
        <v>25</v>
      </c>
      <c r="H246" s="8">
        <v>13</v>
      </c>
      <c r="I246" s="8">
        <v>407.84</v>
      </c>
      <c r="J246" s="8">
        <v>0.05</v>
      </c>
      <c r="K246" s="3">
        <v>5036.82</v>
      </c>
      <c r="L246" t="s">
        <v>39</v>
      </c>
      <c r="M246" t="s">
        <v>26</v>
      </c>
      <c r="N246" s="3">
        <f>Table13[[#This Row],[Quantity]]*Table13[[#This Row],[UnitPrice]]*(1-Table13[[#This Row],[Discount]])</f>
        <v>5036.8239999999996</v>
      </c>
    </row>
    <row r="247" spans="1:14" hidden="1" x14ac:dyDescent="0.35">
      <c r="A247" s="8">
        <v>1008</v>
      </c>
      <c r="B247" s="2">
        <v>46103</v>
      </c>
      <c r="C247" t="s">
        <v>21</v>
      </c>
      <c r="D247" t="s">
        <v>54</v>
      </c>
      <c r="E247" t="s">
        <v>95</v>
      </c>
      <c r="F247" t="s">
        <v>17</v>
      </c>
      <c r="G247" t="s">
        <v>18</v>
      </c>
      <c r="H247" s="8">
        <v>9</v>
      </c>
      <c r="I247" s="8">
        <v>1074.54</v>
      </c>
      <c r="J247" s="8">
        <v>0</v>
      </c>
      <c r="K247" s="3">
        <v>9670.86</v>
      </c>
      <c r="L247" t="s">
        <v>19</v>
      </c>
      <c r="M247" t="s">
        <v>36</v>
      </c>
      <c r="N247" s="3">
        <f>Table13[[#This Row],[Quantity]]*Table13[[#This Row],[UnitPrice]]*(1-Table13[[#This Row],[Discount]])</f>
        <v>9670.86</v>
      </c>
    </row>
    <row r="248" spans="1:14" hidden="1" x14ac:dyDescent="0.35">
      <c r="A248" s="8">
        <v>1277</v>
      </c>
      <c r="B248" s="2">
        <v>46103</v>
      </c>
      <c r="C248" t="s">
        <v>14</v>
      </c>
      <c r="D248" t="s">
        <v>31</v>
      </c>
      <c r="E248" t="s">
        <v>119</v>
      </c>
      <c r="F248" t="s">
        <v>33</v>
      </c>
      <c r="G248" t="s">
        <v>61</v>
      </c>
      <c r="H248" s="8">
        <v>5</v>
      </c>
      <c r="I248" s="8">
        <v>136.04</v>
      </c>
      <c r="J248" s="8">
        <v>0.15</v>
      </c>
      <c r="K248" s="3">
        <v>578.16999999999996</v>
      </c>
      <c r="L248" t="s">
        <v>19</v>
      </c>
      <c r="M248" t="s">
        <v>26</v>
      </c>
      <c r="N248" s="3">
        <f>Table13[[#This Row],[Quantity]]*Table13[[#This Row],[UnitPrice]]*(1-Table13[[#This Row],[Discount]])</f>
        <v>578.16999999999996</v>
      </c>
    </row>
    <row r="249" spans="1:14" hidden="1" x14ac:dyDescent="0.35">
      <c r="A249" s="8">
        <v>1006</v>
      </c>
      <c r="B249" s="2">
        <v>46104</v>
      </c>
      <c r="C249" t="s">
        <v>21</v>
      </c>
      <c r="D249" t="s">
        <v>28</v>
      </c>
      <c r="E249" t="s">
        <v>73</v>
      </c>
      <c r="F249" t="s">
        <v>17</v>
      </c>
      <c r="G249" t="s">
        <v>30</v>
      </c>
      <c r="H249" s="8">
        <v>8</v>
      </c>
      <c r="I249" s="8">
        <v>547.41</v>
      </c>
      <c r="J249" s="8">
        <v>0.15</v>
      </c>
      <c r="K249" s="3">
        <v>3722.39</v>
      </c>
      <c r="L249" t="s">
        <v>19</v>
      </c>
      <c r="M249" t="s">
        <v>26</v>
      </c>
      <c r="N249" s="3">
        <f>Table13[[#This Row],[Quantity]]*Table13[[#This Row],[UnitPrice]]*(1-Table13[[#This Row],[Discount]])</f>
        <v>3722.3879999999995</v>
      </c>
    </row>
    <row r="250" spans="1:14" x14ac:dyDescent="0.35">
      <c r="A250" s="4">
        <v>1112</v>
      </c>
      <c r="B250" s="5">
        <v>46109</v>
      </c>
      <c r="C250" s="6" t="s">
        <v>43</v>
      </c>
      <c r="D250" s="6" t="s">
        <v>54</v>
      </c>
      <c r="E250" s="6" t="s">
        <v>86</v>
      </c>
      <c r="F250" s="6" t="s">
        <v>24</v>
      </c>
      <c r="G250" s="6" t="s">
        <v>25</v>
      </c>
      <c r="H250" s="4">
        <v>15</v>
      </c>
      <c r="I250" s="4">
        <v>486.43</v>
      </c>
      <c r="J250" s="4">
        <v>0.1</v>
      </c>
      <c r="K250" s="7">
        <v>6566.81</v>
      </c>
      <c r="L250" s="6" t="s">
        <v>35</v>
      </c>
      <c r="M250" s="6" t="s">
        <v>26</v>
      </c>
      <c r="N250" s="7">
        <f>Table13[[#This Row],[Quantity]]*Table13[[#This Row],[UnitPrice]]*(1-Table13[[#This Row],[Discount]])</f>
        <v>6566.8050000000003</v>
      </c>
    </row>
    <row r="251" spans="1:14" x14ac:dyDescent="0.35">
      <c r="A251" s="4">
        <v>1182</v>
      </c>
      <c r="B251" s="5">
        <v>46111</v>
      </c>
      <c r="C251" s="6" t="s">
        <v>43</v>
      </c>
      <c r="D251" s="6" t="s">
        <v>22</v>
      </c>
      <c r="E251" s="6" t="s">
        <v>87</v>
      </c>
      <c r="F251" s="6" t="s">
        <v>33</v>
      </c>
      <c r="G251" s="6" t="s">
        <v>34</v>
      </c>
      <c r="H251" s="4">
        <v>1</v>
      </c>
      <c r="I251" s="4">
        <v>679.37</v>
      </c>
      <c r="J251" s="4">
        <v>0.05</v>
      </c>
      <c r="K251" s="7">
        <v>645.4</v>
      </c>
      <c r="L251" s="6" t="s">
        <v>35</v>
      </c>
      <c r="M251" s="6" t="s">
        <v>20</v>
      </c>
      <c r="N251" s="7">
        <f>Table13[[#This Row],[Quantity]]*Table13[[#This Row],[UnitPrice]]*(1-Table13[[#This Row],[Discount]])</f>
        <v>645.40149999999994</v>
      </c>
    </row>
    <row r="252" spans="1:14" hidden="1" x14ac:dyDescent="0.35">
      <c r="A252" s="8">
        <v>1031</v>
      </c>
      <c r="B252" s="2">
        <v>46114</v>
      </c>
      <c r="C252" t="s">
        <v>27</v>
      </c>
      <c r="D252" t="s">
        <v>54</v>
      </c>
      <c r="E252" t="s">
        <v>42</v>
      </c>
      <c r="F252" t="s">
        <v>24</v>
      </c>
      <c r="G252" t="s">
        <v>38</v>
      </c>
      <c r="H252" s="8">
        <v>15</v>
      </c>
      <c r="I252" s="8">
        <v>1052.1300000000001</v>
      </c>
      <c r="J252" s="8">
        <v>0.1</v>
      </c>
      <c r="K252" s="3">
        <v>14203.76</v>
      </c>
      <c r="L252" t="s">
        <v>35</v>
      </c>
      <c r="M252" t="s">
        <v>20</v>
      </c>
      <c r="N252" s="3">
        <f>Table13[[#This Row],[Quantity]]*Table13[[#This Row],[UnitPrice]]*(1-Table13[[#This Row],[Discount]])</f>
        <v>14203.755000000001</v>
      </c>
    </row>
    <row r="253" spans="1:14" hidden="1" x14ac:dyDescent="0.35">
      <c r="A253" s="8">
        <v>1110</v>
      </c>
      <c r="B253" s="2">
        <v>46115</v>
      </c>
      <c r="C253" t="s">
        <v>14</v>
      </c>
      <c r="D253" t="s">
        <v>47</v>
      </c>
      <c r="E253" t="s">
        <v>108</v>
      </c>
      <c r="F253" t="s">
        <v>24</v>
      </c>
      <c r="G253" t="s">
        <v>25</v>
      </c>
      <c r="H253" s="8">
        <v>2</v>
      </c>
      <c r="I253" s="8">
        <v>461.73</v>
      </c>
      <c r="J253" s="8">
        <v>0.05</v>
      </c>
      <c r="K253" s="3">
        <v>877.29</v>
      </c>
      <c r="L253" t="s">
        <v>35</v>
      </c>
      <c r="M253" t="s">
        <v>36</v>
      </c>
      <c r="N253" s="3">
        <f>Table13[[#This Row],[Quantity]]*Table13[[#This Row],[UnitPrice]]*(1-Table13[[#This Row],[Discount]])</f>
        <v>877.28700000000003</v>
      </c>
    </row>
    <row r="254" spans="1:14" hidden="1" x14ac:dyDescent="0.35">
      <c r="A254" s="8">
        <v>1247</v>
      </c>
      <c r="B254" s="2">
        <v>46117</v>
      </c>
      <c r="C254" t="s">
        <v>21</v>
      </c>
      <c r="D254" t="s">
        <v>15</v>
      </c>
      <c r="E254" t="s">
        <v>77</v>
      </c>
      <c r="F254" t="s">
        <v>33</v>
      </c>
      <c r="G254" t="s">
        <v>53</v>
      </c>
      <c r="H254" s="8">
        <v>9</v>
      </c>
      <c r="I254" s="8">
        <v>567.6</v>
      </c>
      <c r="J254" s="8">
        <v>0.1</v>
      </c>
      <c r="K254" s="3">
        <v>4597.5600000000004</v>
      </c>
      <c r="L254" t="s">
        <v>19</v>
      </c>
      <c r="M254" t="s">
        <v>20</v>
      </c>
      <c r="N254" s="3">
        <f>Table13[[#This Row],[Quantity]]*Table13[[#This Row],[UnitPrice]]*(1-Table13[[#This Row],[Discount]])</f>
        <v>4597.5600000000004</v>
      </c>
    </row>
    <row r="255" spans="1:14" hidden="1" x14ac:dyDescent="0.35">
      <c r="A255" s="8">
        <v>1053</v>
      </c>
      <c r="B255" s="2">
        <v>46122</v>
      </c>
      <c r="C255" t="s">
        <v>14</v>
      </c>
      <c r="D255" t="s">
        <v>54</v>
      </c>
      <c r="E255" t="s">
        <v>100</v>
      </c>
      <c r="F255" t="s">
        <v>17</v>
      </c>
      <c r="G255" t="s">
        <v>46</v>
      </c>
      <c r="H255" s="8">
        <v>6</v>
      </c>
      <c r="I255" s="8">
        <v>484.51</v>
      </c>
      <c r="J255" s="8">
        <v>0.05</v>
      </c>
      <c r="K255" s="3">
        <v>2761.71</v>
      </c>
      <c r="L255" t="s">
        <v>35</v>
      </c>
      <c r="M255" t="s">
        <v>36</v>
      </c>
      <c r="N255" s="3">
        <f>Table13[[#This Row],[Quantity]]*Table13[[#This Row],[UnitPrice]]*(1-Table13[[#This Row],[Discount]])</f>
        <v>2761.7069999999999</v>
      </c>
    </row>
    <row r="256" spans="1:14" x14ac:dyDescent="0.35">
      <c r="A256" s="4">
        <v>1055</v>
      </c>
      <c r="B256" s="5">
        <v>46126</v>
      </c>
      <c r="C256" s="6" t="s">
        <v>43</v>
      </c>
      <c r="D256" s="6" t="s">
        <v>31</v>
      </c>
      <c r="E256" s="6" t="s">
        <v>55</v>
      </c>
      <c r="F256" s="6" t="s">
        <v>17</v>
      </c>
      <c r="G256" s="6" t="s">
        <v>30</v>
      </c>
      <c r="H256" s="4">
        <v>15</v>
      </c>
      <c r="I256" s="4">
        <v>684.91</v>
      </c>
      <c r="J256" s="4">
        <v>0.05</v>
      </c>
      <c r="K256" s="7">
        <v>9759.9699999999993</v>
      </c>
      <c r="L256" s="6" t="s">
        <v>19</v>
      </c>
      <c r="M256" s="6" t="s">
        <v>26</v>
      </c>
      <c r="N256" s="7">
        <f>Table13[[#This Row],[Quantity]]*Table13[[#This Row],[UnitPrice]]*(1-Table13[[#This Row],[Discount]])</f>
        <v>9759.9674999999988</v>
      </c>
    </row>
    <row r="257" spans="1:14" x14ac:dyDescent="0.35">
      <c r="A257" s="4">
        <v>1158</v>
      </c>
      <c r="B257" s="5">
        <v>46131</v>
      </c>
      <c r="C257" s="6" t="s">
        <v>43</v>
      </c>
      <c r="D257" s="6" t="s">
        <v>31</v>
      </c>
      <c r="E257" s="6" t="s">
        <v>91</v>
      </c>
      <c r="F257" s="6" t="s">
        <v>24</v>
      </c>
      <c r="G257" s="6" t="s">
        <v>63</v>
      </c>
      <c r="H257" s="4">
        <v>14</v>
      </c>
      <c r="I257" s="4">
        <v>898.66</v>
      </c>
      <c r="J257" s="4">
        <v>0.1</v>
      </c>
      <c r="K257" s="7">
        <v>11323.12</v>
      </c>
      <c r="L257" s="6" t="s">
        <v>35</v>
      </c>
      <c r="M257" s="6" t="s">
        <v>36</v>
      </c>
      <c r="N257" s="7">
        <f>Table13[[#This Row],[Quantity]]*Table13[[#This Row],[UnitPrice]]*(1-Table13[[#This Row],[Discount]])</f>
        <v>11323.116</v>
      </c>
    </row>
    <row r="258" spans="1:14" x14ac:dyDescent="0.35">
      <c r="A258" s="4">
        <v>1181</v>
      </c>
      <c r="B258" s="5">
        <v>46131</v>
      </c>
      <c r="C258" s="6" t="s">
        <v>43</v>
      </c>
      <c r="D258" s="6" t="s">
        <v>47</v>
      </c>
      <c r="E258" s="6" t="s">
        <v>119</v>
      </c>
      <c r="F258" s="6" t="s">
        <v>17</v>
      </c>
      <c r="G258" s="6" t="s">
        <v>46</v>
      </c>
      <c r="H258" s="4">
        <v>14</v>
      </c>
      <c r="I258" s="4">
        <v>674.16</v>
      </c>
      <c r="J258" s="4">
        <v>0.1</v>
      </c>
      <c r="K258" s="7">
        <v>8494.42</v>
      </c>
      <c r="L258" s="6" t="s">
        <v>35</v>
      </c>
      <c r="M258" s="6" t="s">
        <v>26</v>
      </c>
      <c r="N258" s="7">
        <f>Table13[[#This Row],[Quantity]]*Table13[[#This Row],[UnitPrice]]*(1-Table13[[#This Row],[Discount]])</f>
        <v>8494.4159999999993</v>
      </c>
    </row>
    <row r="259" spans="1:14" hidden="1" x14ac:dyDescent="0.35">
      <c r="A259" s="8">
        <v>1144</v>
      </c>
      <c r="B259" s="2">
        <v>46132</v>
      </c>
      <c r="C259" t="s">
        <v>21</v>
      </c>
      <c r="D259" t="s">
        <v>22</v>
      </c>
      <c r="E259" t="s">
        <v>89</v>
      </c>
      <c r="F259" t="s">
        <v>24</v>
      </c>
      <c r="G259" t="s">
        <v>63</v>
      </c>
      <c r="H259" s="8">
        <v>4</v>
      </c>
      <c r="I259" s="8">
        <v>162.99</v>
      </c>
      <c r="J259" s="8">
        <v>0</v>
      </c>
      <c r="K259" s="3">
        <v>651.96</v>
      </c>
      <c r="L259" t="s">
        <v>19</v>
      </c>
      <c r="M259" t="s">
        <v>36</v>
      </c>
      <c r="N259" s="3">
        <f>Table13[[#This Row],[Quantity]]*Table13[[#This Row],[UnitPrice]]*(1-Table13[[#This Row],[Discount]])</f>
        <v>651.96</v>
      </c>
    </row>
    <row r="260" spans="1:14" hidden="1" x14ac:dyDescent="0.35">
      <c r="A260" s="8">
        <v>1204</v>
      </c>
      <c r="B260" s="2">
        <v>46133</v>
      </c>
      <c r="C260" t="s">
        <v>14</v>
      </c>
      <c r="D260" t="s">
        <v>47</v>
      </c>
      <c r="E260" t="s">
        <v>85</v>
      </c>
      <c r="F260" t="s">
        <v>24</v>
      </c>
      <c r="G260" t="s">
        <v>38</v>
      </c>
      <c r="H260" s="8">
        <v>6</v>
      </c>
      <c r="I260" s="8">
        <v>582.33000000000004</v>
      </c>
      <c r="J260" s="8">
        <v>0.05</v>
      </c>
      <c r="K260" s="3">
        <v>3319.28</v>
      </c>
      <c r="L260" t="s">
        <v>39</v>
      </c>
      <c r="M260" t="s">
        <v>36</v>
      </c>
      <c r="N260" s="3">
        <f>Table13[[#This Row],[Quantity]]*Table13[[#This Row],[UnitPrice]]*(1-Table13[[#This Row],[Discount]])</f>
        <v>3319.2810000000004</v>
      </c>
    </row>
    <row r="261" spans="1:14" hidden="1" x14ac:dyDescent="0.35">
      <c r="A261" s="8">
        <v>1074</v>
      </c>
      <c r="B261" s="2">
        <v>46141</v>
      </c>
      <c r="C261" t="s">
        <v>21</v>
      </c>
      <c r="D261" t="s">
        <v>31</v>
      </c>
      <c r="E261" t="s">
        <v>111</v>
      </c>
      <c r="F261" t="s">
        <v>24</v>
      </c>
      <c r="G261" t="s">
        <v>38</v>
      </c>
      <c r="H261" s="8">
        <v>3</v>
      </c>
      <c r="I261" s="8">
        <v>209.76</v>
      </c>
      <c r="J261" s="8">
        <v>0.1</v>
      </c>
      <c r="K261" s="3">
        <v>566.35</v>
      </c>
      <c r="L261" t="s">
        <v>39</v>
      </c>
      <c r="M261" t="s">
        <v>26</v>
      </c>
      <c r="N261" s="3">
        <f>Table13[[#This Row],[Quantity]]*Table13[[#This Row],[UnitPrice]]*(1-Table13[[#This Row],[Discount]])</f>
        <v>566.35199999999998</v>
      </c>
    </row>
    <row r="262" spans="1:14" x14ac:dyDescent="0.35">
      <c r="A262" s="4">
        <v>1035</v>
      </c>
      <c r="B262" s="5">
        <v>46144</v>
      </c>
      <c r="C262" s="6" t="s">
        <v>43</v>
      </c>
      <c r="D262" s="6" t="s">
        <v>31</v>
      </c>
      <c r="E262" s="6" t="s">
        <v>103</v>
      </c>
      <c r="F262" s="6" t="s">
        <v>17</v>
      </c>
      <c r="G262" s="6" t="s">
        <v>30</v>
      </c>
      <c r="H262" s="6">
        <v>5</v>
      </c>
      <c r="I262" s="4">
        <v>740.88</v>
      </c>
      <c r="J262" s="4">
        <v>0.1</v>
      </c>
      <c r="K262" s="7">
        <v>3333.96</v>
      </c>
      <c r="L262" s="6" t="s">
        <v>39</v>
      </c>
      <c r="M262" s="6" t="s">
        <v>26</v>
      </c>
      <c r="N262" s="7">
        <f>Table13[[#This Row],[Quantity]]*Table13[[#This Row],[UnitPrice]]*(1-Table13[[#This Row],[Discount]])</f>
        <v>3333.96</v>
      </c>
    </row>
    <row r="263" spans="1:14" hidden="1" x14ac:dyDescent="0.35">
      <c r="A263" s="8">
        <v>1029</v>
      </c>
      <c r="B263" s="2">
        <v>46144</v>
      </c>
      <c r="C263" t="s">
        <v>27</v>
      </c>
      <c r="D263" t="s">
        <v>31</v>
      </c>
      <c r="E263" t="s">
        <v>114</v>
      </c>
      <c r="F263" t="s">
        <v>33</v>
      </c>
      <c r="G263" t="s">
        <v>34</v>
      </c>
      <c r="I263" s="8">
        <v>213.59</v>
      </c>
      <c r="J263" s="8">
        <v>0</v>
      </c>
      <c r="K263" s="3">
        <v>1067.95</v>
      </c>
      <c r="L263" t="s">
        <v>19</v>
      </c>
      <c r="M263" t="s">
        <v>36</v>
      </c>
      <c r="N263" s="3">
        <f>Table13[[#This Row],[Quantity]]*Table13[[#This Row],[UnitPrice]]*(1-Table13[[#This Row],[Discount]])</f>
        <v>0</v>
      </c>
    </row>
    <row r="264" spans="1:14" hidden="1" x14ac:dyDescent="0.35">
      <c r="A264" s="8">
        <v>1043</v>
      </c>
      <c r="B264" s="2">
        <v>46145</v>
      </c>
      <c r="C264" t="s">
        <v>14</v>
      </c>
      <c r="D264" t="s">
        <v>31</v>
      </c>
      <c r="E264" t="s">
        <v>72</v>
      </c>
      <c r="F264" t="s">
        <v>24</v>
      </c>
      <c r="G264" t="s">
        <v>63</v>
      </c>
      <c r="H264">
        <v>2</v>
      </c>
      <c r="I264" s="8">
        <v>597.08000000000004</v>
      </c>
      <c r="J264" s="8">
        <v>0.15</v>
      </c>
      <c r="K264" s="3">
        <v>1015.04</v>
      </c>
      <c r="L264" t="s">
        <v>35</v>
      </c>
      <c r="M264" t="s">
        <v>36</v>
      </c>
      <c r="N264" s="3">
        <f>Table13[[#This Row],[Quantity]]*Table13[[#This Row],[UnitPrice]]*(1-Table13[[#This Row],[Discount]])</f>
        <v>1015.0360000000001</v>
      </c>
    </row>
    <row r="265" spans="1:14" hidden="1" x14ac:dyDescent="0.35">
      <c r="A265" s="8">
        <v>1261</v>
      </c>
      <c r="B265" s="2">
        <v>46145</v>
      </c>
      <c r="C265" t="s">
        <v>14</v>
      </c>
      <c r="D265" t="s">
        <v>47</v>
      </c>
      <c r="E265" t="s">
        <v>108</v>
      </c>
      <c r="F265" t="s">
        <v>17</v>
      </c>
      <c r="G265" t="s">
        <v>18</v>
      </c>
      <c r="H265">
        <v>1</v>
      </c>
      <c r="I265" s="8">
        <v>993.21</v>
      </c>
      <c r="J265" s="8">
        <v>0.1</v>
      </c>
      <c r="K265" s="3">
        <v>893.89</v>
      </c>
      <c r="L265" t="s">
        <v>19</v>
      </c>
      <c r="M265" t="s">
        <v>36</v>
      </c>
      <c r="N265" s="3">
        <f>Table13[[#This Row],[Quantity]]*Table13[[#This Row],[UnitPrice]]*(1-Table13[[#This Row],[Discount]])</f>
        <v>893.88900000000001</v>
      </c>
    </row>
    <row r="266" spans="1:14" hidden="1" x14ac:dyDescent="0.35">
      <c r="A266" s="8">
        <v>1244</v>
      </c>
      <c r="B266" s="2">
        <v>46146</v>
      </c>
      <c r="C266" t="s">
        <v>14</v>
      </c>
      <c r="D266" t="s">
        <v>31</v>
      </c>
      <c r="E266" t="s">
        <v>65</v>
      </c>
      <c r="F266" t="s">
        <v>24</v>
      </c>
      <c r="G266" t="s">
        <v>25</v>
      </c>
      <c r="H266">
        <v>8</v>
      </c>
      <c r="I266" s="8">
        <v>790.57</v>
      </c>
      <c r="J266" s="8">
        <v>0</v>
      </c>
      <c r="K266" s="3">
        <v>6324.56</v>
      </c>
      <c r="L266" t="s">
        <v>39</v>
      </c>
      <c r="M266" t="s">
        <v>26</v>
      </c>
      <c r="N266" s="3">
        <f>Table13[[#This Row],[Quantity]]*Table13[[#This Row],[UnitPrice]]*(1-Table13[[#This Row],[Discount]])</f>
        <v>6324.56</v>
      </c>
    </row>
    <row r="267" spans="1:14" hidden="1" x14ac:dyDescent="0.35">
      <c r="A267" s="8">
        <v>1001</v>
      </c>
      <c r="B267" s="2">
        <v>46146</v>
      </c>
      <c r="C267" t="s">
        <v>21</v>
      </c>
      <c r="D267" t="s">
        <v>15</v>
      </c>
      <c r="E267" t="s">
        <v>94</v>
      </c>
      <c r="F267" t="s">
        <v>17</v>
      </c>
      <c r="G267" t="s">
        <v>30</v>
      </c>
      <c r="H267" s="8">
        <v>4</v>
      </c>
      <c r="I267" s="8">
        <v>424.95</v>
      </c>
      <c r="J267" s="8">
        <v>0.1</v>
      </c>
      <c r="K267" s="3">
        <v>1529.82</v>
      </c>
      <c r="L267" t="s">
        <v>35</v>
      </c>
      <c r="M267" t="s">
        <v>26</v>
      </c>
      <c r="N267" s="3">
        <f>Table13[[#This Row],[Quantity]]*Table13[[#This Row],[UnitPrice]]*(1-Table13[[#This Row],[Discount]])</f>
        <v>1529.82</v>
      </c>
    </row>
    <row r="268" spans="1:14" hidden="1" x14ac:dyDescent="0.35">
      <c r="A268" s="8">
        <v>1230</v>
      </c>
      <c r="B268" s="2">
        <v>46149</v>
      </c>
      <c r="C268" t="s">
        <v>21</v>
      </c>
      <c r="D268" t="s">
        <v>31</v>
      </c>
      <c r="E268" t="s">
        <v>45</v>
      </c>
      <c r="F268" t="s">
        <v>33</v>
      </c>
      <c r="G268" t="s">
        <v>53</v>
      </c>
      <c r="H268">
        <v>12</v>
      </c>
      <c r="I268" s="8">
        <v>897.6</v>
      </c>
      <c r="J268" s="8">
        <v>0</v>
      </c>
      <c r="K268" s="3">
        <v>10771.2</v>
      </c>
      <c r="L268" t="s">
        <v>19</v>
      </c>
      <c r="M268" t="s">
        <v>36</v>
      </c>
      <c r="N268" s="3">
        <f>Table13[[#This Row],[Quantity]]*Table13[[#This Row],[UnitPrice]]*(1-Table13[[#This Row],[Discount]])</f>
        <v>10771.2</v>
      </c>
    </row>
    <row r="269" spans="1:14" hidden="1" x14ac:dyDescent="0.35">
      <c r="A269" s="8">
        <v>1290</v>
      </c>
      <c r="B269" s="2">
        <v>46150</v>
      </c>
      <c r="C269" t="s">
        <v>27</v>
      </c>
      <c r="D269" t="s">
        <v>22</v>
      </c>
      <c r="E269" t="s">
        <v>121</v>
      </c>
      <c r="F269" t="s">
        <v>17</v>
      </c>
      <c r="G269" t="s">
        <v>30</v>
      </c>
      <c r="H269">
        <v>1</v>
      </c>
      <c r="I269" s="8">
        <v>759.55</v>
      </c>
      <c r="J269" s="8">
        <v>0.05</v>
      </c>
      <c r="K269" s="3">
        <v>721.57</v>
      </c>
      <c r="L269" t="s">
        <v>35</v>
      </c>
      <c r="M269" t="s">
        <v>20</v>
      </c>
      <c r="N269" s="3">
        <f>Table13[[#This Row],[Quantity]]*Table13[[#This Row],[UnitPrice]]*(1-Table13[[#This Row],[Discount]])</f>
        <v>721.57249999999988</v>
      </c>
    </row>
    <row r="270" spans="1:14" hidden="1" x14ac:dyDescent="0.35">
      <c r="A270" s="8">
        <v>1186</v>
      </c>
      <c r="B270" s="2">
        <v>46155</v>
      </c>
      <c r="C270" t="s">
        <v>27</v>
      </c>
      <c r="D270" t="s">
        <v>15</v>
      </c>
      <c r="E270" t="s">
        <v>41</v>
      </c>
      <c r="F270" t="s">
        <v>33</v>
      </c>
      <c r="G270" t="s">
        <v>61</v>
      </c>
      <c r="H270">
        <v>6</v>
      </c>
      <c r="I270" s="8">
        <v>360.82</v>
      </c>
      <c r="J270" s="8">
        <v>0.15</v>
      </c>
      <c r="K270" s="3">
        <v>1840.18</v>
      </c>
      <c r="L270" t="s">
        <v>39</v>
      </c>
      <c r="M270" t="s">
        <v>20</v>
      </c>
      <c r="N270" s="3">
        <f>Table13[[#This Row],[Quantity]]*Table13[[#This Row],[UnitPrice]]*(1-Table13[[#This Row],[Discount]])</f>
        <v>1840.182</v>
      </c>
    </row>
    <row r="271" spans="1:14" x14ac:dyDescent="0.35">
      <c r="A271" s="4">
        <v>1141</v>
      </c>
      <c r="B271" s="5">
        <v>46156</v>
      </c>
      <c r="C271" s="6" t="s">
        <v>43</v>
      </c>
      <c r="D271" s="6" t="s">
        <v>31</v>
      </c>
      <c r="E271" s="6" t="s">
        <v>40</v>
      </c>
      <c r="F271" s="6" t="s">
        <v>24</v>
      </c>
      <c r="G271" s="6" t="s">
        <v>63</v>
      </c>
      <c r="H271" s="6">
        <v>2</v>
      </c>
      <c r="I271" s="4">
        <v>1069</v>
      </c>
      <c r="J271" s="4">
        <v>0.1</v>
      </c>
      <c r="K271" s="7">
        <v>1924.2</v>
      </c>
      <c r="L271" s="6" t="s">
        <v>39</v>
      </c>
      <c r="M271" s="6" t="s">
        <v>26</v>
      </c>
      <c r="N271" s="7">
        <f>Table13[[#This Row],[Quantity]]*Table13[[#This Row],[UnitPrice]]*(1-Table13[[#This Row],[Discount]])</f>
        <v>1924.2</v>
      </c>
    </row>
    <row r="272" spans="1:14" hidden="1" x14ac:dyDescent="0.35">
      <c r="A272" s="8">
        <v>1194</v>
      </c>
      <c r="B272" s="2">
        <v>46158</v>
      </c>
      <c r="C272" t="s">
        <v>27</v>
      </c>
      <c r="D272" t="s">
        <v>15</v>
      </c>
      <c r="E272" t="s">
        <v>91</v>
      </c>
      <c r="F272" t="s">
        <v>33</v>
      </c>
      <c r="G272" t="s">
        <v>61</v>
      </c>
      <c r="H272">
        <v>6</v>
      </c>
      <c r="I272" s="8">
        <v>1041.3</v>
      </c>
      <c r="J272" s="8">
        <v>0.15</v>
      </c>
      <c r="K272" s="3">
        <v>5310.63</v>
      </c>
      <c r="L272" t="s">
        <v>19</v>
      </c>
      <c r="M272" t="s">
        <v>36</v>
      </c>
      <c r="N272" s="3">
        <f>Table13[[#This Row],[Quantity]]*Table13[[#This Row],[UnitPrice]]*(1-Table13[[#This Row],[Discount]])</f>
        <v>5310.6299999999992</v>
      </c>
    </row>
    <row r="273" spans="1:14" hidden="1" x14ac:dyDescent="0.35">
      <c r="A273" s="8">
        <v>1004</v>
      </c>
      <c r="B273" s="2">
        <v>46159</v>
      </c>
      <c r="C273" t="s">
        <v>14</v>
      </c>
      <c r="D273" t="s">
        <v>22</v>
      </c>
      <c r="E273" t="s">
        <v>116</v>
      </c>
      <c r="F273" t="s">
        <v>17</v>
      </c>
      <c r="G273" t="s">
        <v>46</v>
      </c>
      <c r="H273" s="8">
        <v>15</v>
      </c>
      <c r="I273" s="8">
        <v>874.8</v>
      </c>
      <c r="J273" s="8">
        <v>0.1</v>
      </c>
      <c r="K273" s="3">
        <v>11809.8</v>
      </c>
      <c r="L273" t="s">
        <v>35</v>
      </c>
      <c r="M273" t="s">
        <v>26</v>
      </c>
      <c r="N273" s="3">
        <f>Table13[[#This Row],[Quantity]]*Table13[[#This Row],[UnitPrice]]*(1-Table13[[#This Row],[Discount]])</f>
        <v>11809.800000000001</v>
      </c>
    </row>
    <row r="274" spans="1:14" x14ac:dyDescent="0.35">
      <c r="A274" s="4">
        <v>1167</v>
      </c>
      <c r="B274" s="5">
        <v>46160</v>
      </c>
      <c r="C274" s="6" t="s">
        <v>43</v>
      </c>
      <c r="D274" s="6" t="s">
        <v>15</v>
      </c>
      <c r="E274" s="6" t="s">
        <v>97</v>
      </c>
      <c r="F274" s="6" t="s">
        <v>17</v>
      </c>
      <c r="G274" s="6" t="s">
        <v>30</v>
      </c>
      <c r="H274" s="6">
        <v>8</v>
      </c>
      <c r="I274" s="4">
        <v>946.07</v>
      </c>
      <c r="J274" s="4">
        <v>0</v>
      </c>
      <c r="K274" s="7">
        <v>7568.56</v>
      </c>
      <c r="L274" s="6" t="s">
        <v>39</v>
      </c>
      <c r="M274" s="6" t="s">
        <v>36</v>
      </c>
      <c r="N274" s="7">
        <f>Table13[[#This Row],[Quantity]]*Table13[[#This Row],[UnitPrice]]*(1-Table13[[#This Row],[Discount]])</f>
        <v>7568.56</v>
      </c>
    </row>
    <row r="275" spans="1:14" hidden="1" x14ac:dyDescent="0.35">
      <c r="A275" s="8">
        <v>1208</v>
      </c>
      <c r="B275" s="2">
        <v>46160</v>
      </c>
      <c r="C275" t="s">
        <v>27</v>
      </c>
      <c r="D275" t="s">
        <v>54</v>
      </c>
      <c r="E275" t="s">
        <v>108</v>
      </c>
      <c r="F275" t="s">
        <v>17</v>
      </c>
      <c r="G275" t="s">
        <v>46</v>
      </c>
      <c r="H275">
        <v>7</v>
      </c>
      <c r="I275" s="8">
        <v>1027.21</v>
      </c>
      <c r="J275" s="8">
        <v>0.1</v>
      </c>
      <c r="K275" s="3">
        <v>6471.42</v>
      </c>
      <c r="L275" t="s">
        <v>39</v>
      </c>
      <c r="M275" t="s">
        <v>26</v>
      </c>
      <c r="N275" s="3">
        <f>Table13[[#This Row],[Quantity]]*Table13[[#This Row],[UnitPrice]]*(1-Table13[[#This Row],[Discount]])</f>
        <v>6471.4230000000007</v>
      </c>
    </row>
    <row r="276" spans="1:14" hidden="1" x14ac:dyDescent="0.35">
      <c r="A276" s="8">
        <v>1123</v>
      </c>
      <c r="B276" s="2">
        <v>46163</v>
      </c>
      <c r="C276" t="s">
        <v>21</v>
      </c>
      <c r="D276" t="s">
        <v>28</v>
      </c>
      <c r="E276" t="s">
        <v>114</v>
      </c>
      <c r="F276" t="s">
        <v>33</v>
      </c>
      <c r="G276" t="s">
        <v>61</v>
      </c>
      <c r="H276">
        <v>2</v>
      </c>
      <c r="I276" s="8">
        <v>1075.27</v>
      </c>
      <c r="J276" s="8">
        <v>0</v>
      </c>
      <c r="K276" s="3">
        <v>2150.54</v>
      </c>
      <c r="L276" t="s">
        <v>19</v>
      </c>
      <c r="M276" t="s">
        <v>36</v>
      </c>
      <c r="N276" s="3">
        <f>Table13[[#This Row],[Quantity]]*Table13[[#This Row],[UnitPrice]]*(1-Table13[[#This Row],[Discount]])</f>
        <v>2150.54</v>
      </c>
    </row>
    <row r="277" spans="1:14" x14ac:dyDescent="0.35">
      <c r="A277" s="4">
        <v>1137</v>
      </c>
      <c r="B277" s="5">
        <v>46163</v>
      </c>
      <c r="C277" s="6" t="s">
        <v>43</v>
      </c>
      <c r="D277" s="6" t="s">
        <v>54</v>
      </c>
      <c r="E277" s="6" t="s">
        <v>59</v>
      </c>
      <c r="F277" s="6" t="s">
        <v>24</v>
      </c>
      <c r="G277" s="6" t="s">
        <v>25</v>
      </c>
      <c r="H277" s="6">
        <v>2</v>
      </c>
      <c r="I277" s="4">
        <v>249.82</v>
      </c>
      <c r="J277" s="4">
        <v>0.15</v>
      </c>
      <c r="K277" s="7">
        <v>424.69</v>
      </c>
      <c r="L277" s="6" t="s">
        <v>19</v>
      </c>
      <c r="M277" s="6" t="s">
        <v>36</v>
      </c>
      <c r="N277" s="7">
        <f>Table13[[#This Row],[Quantity]]*Table13[[#This Row],[UnitPrice]]*(1-Table13[[#This Row],[Discount]])</f>
        <v>424.69399999999996</v>
      </c>
    </row>
    <row r="278" spans="1:14" x14ac:dyDescent="0.35">
      <c r="A278" s="4">
        <v>1241</v>
      </c>
      <c r="B278" s="5">
        <v>46167</v>
      </c>
      <c r="C278" s="6" t="s">
        <v>43</v>
      </c>
      <c r="D278" s="6" t="s">
        <v>31</v>
      </c>
      <c r="E278" s="6" t="s">
        <v>90</v>
      </c>
      <c r="F278" s="6" t="s">
        <v>17</v>
      </c>
      <c r="G278" s="6" t="s">
        <v>18</v>
      </c>
      <c r="H278" s="6">
        <v>8</v>
      </c>
      <c r="I278" s="4">
        <v>1193.77</v>
      </c>
      <c r="J278" s="4">
        <v>0.15</v>
      </c>
      <c r="K278" s="7">
        <v>8117.64</v>
      </c>
      <c r="L278" s="6" t="s">
        <v>35</v>
      </c>
      <c r="M278" s="6" t="s">
        <v>20</v>
      </c>
      <c r="N278" s="7">
        <f>Table13[[#This Row],[Quantity]]*Table13[[#This Row],[UnitPrice]]*(1-Table13[[#This Row],[Discount]])</f>
        <v>8117.6359999999995</v>
      </c>
    </row>
    <row r="279" spans="1:14" hidden="1" x14ac:dyDescent="0.35">
      <c r="A279" s="8">
        <v>1184</v>
      </c>
      <c r="B279" s="2">
        <v>46167</v>
      </c>
      <c r="C279" t="s">
        <v>27</v>
      </c>
      <c r="D279" t="s">
        <v>47</v>
      </c>
      <c r="E279" t="s">
        <v>57</v>
      </c>
      <c r="F279" t="s">
        <v>33</v>
      </c>
      <c r="G279" t="s">
        <v>34</v>
      </c>
      <c r="H279">
        <v>1</v>
      </c>
      <c r="I279" s="8">
        <v>1164.6099999999999</v>
      </c>
      <c r="J279" s="8">
        <v>0.05</v>
      </c>
      <c r="K279" s="3">
        <v>1106.3800000000001</v>
      </c>
      <c r="L279" t="s">
        <v>19</v>
      </c>
      <c r="M279" t="s">
        <v>20</v>
      </c>
      <c r="N279" s="3">
        <f>Table13[[#This Row],[Quantity]]*Table13[[#This Row],[UnitPrice]]*(1-Table13[[#This Row],[Discount]])</f>
        <v>1106.3794999999998</v>
      </c>
    </row>
    <row r="280" spans="1:14" x14ac:dyDescent="0.35">
      <c r="A280" s="4">
        <v>1195</v>
      </c>
      <c r="B280" s="5">
        <v>46170</v>
      </c>
      <c r="C280" s="6" t="s">
        <v>43</v>
      </c>
      <c r="D280" s="6" t="s">
        <v>22</v>
      </c>
      <c r="E280" s="6" t="s">
        <v>77</v>
      </c>
      <c r="F280" s="6" t="s">
        <v>24</v>
      </c>
      <c r="G280" s="6" t="s">
        <v>38</v>
      </c>
      <c r="H280" s="6">
        <v>14</v>
      </c>
      <c r="I280" s="4">
        <v>162.52000000000001</v>
      </c>
      <c r="J280" s="4">
        <v>0.05</v>
      </c>
      <c r="K280" s="7">
        <v>2161.52</v>
      </c>
      <c r="L280" s="6" t="s">
        <v>19</v>
      </c>
      <c r="M280" s="6" t="s">
        <v>26</v>
      </c>
      <c r="N280" s="7">
        <f>Table13[[#This Row],[Quantity]]*Table13[[#This Row],[UnitPrice]]*(1-Table13[[#This Row],[Discount]])</f>
        <v>2161.5160000000001</v>
      </c>
    </row>
    <row r="281" spans="1:14" hidden="1" x14ac:dyDescent="0.35">
      <c r="A281" s="8">
        <v>1174</v>
      </c>
      <c r="B281" s="2">
        <v>46171</v>
      </c>
      <c r="C281" t="s">
        <v>14</v>
      </c>
      <c r="D281" t="s">
        <v>47</v>
      </c>
      <c r="E281" t="s">
        <v>65</v>
      </c>
      <c r="F281" t="s">
        <v>24</v>
      </c>
      <c r="G281" t="s">
        <v>63</v>
      </c>
      <c r="H281">
        <v>1</v>
      </c>
      <c r="I281" s="8">
        <v>1003.21</v>
      </c>
      <c r="J281" s="8">
        <v>0</v>
      </c>
      <c r="K281" s="3">
        <v>1003.21</v>
      </c>
      <c r="L281" t="s">
        <v>39</v>
      </c>
      <c r="M281" t="s">
        <v>36</v>
      </c>
      <c r="N281" s="3">
        <f>Table13[[#This Row],[Quantity]]*Table13[[#This Row],[UnitPrice]]*(1-Table13[[#This Row],[Discount]])</f>
        <v>1003.21</v>
      </c>
    </row>
    <row r="282" spans="1:14" hidden="1" x14ac:dyDescent="0.35">
      <c r="A282" s="8">
        <v>1271</v>
      </c>
      <c r="B282" s="2">
        <v>46172</v>
      </c>
      <c r="C282" t="s">
        <v>21</v>
      </c>
      <c r="D282" t="s">
        <v>54</v>
      </c>
      <c r="E282" t="s">
        <v>99</v>
      </c>
      <c r="F282" t="s">
        <v>17</v>
      </c>
      <c r="G282" t="s">
        <v>30</v>
      </c>
      <c r="H282">
        <v>15</v>
      </c>
      <c r="I282" s="8">
        <v>883.6</v>
      </c>
      <c r="J282" s="8">
        <v>0.05</v>
      </c>
      <c r="K282" s="3">
        <v>12591.3</v>
      </c>
      <c r="L282" t="s">
        <v>19</v>
      </c>
      <c r="M282" t="s">
        <v>26</v>
      </c>
      <c r="N282" s="3">
        <f>Table13[[#This Row],[Quantity]]*Table13[[#This Row],[UnitPrice]]*(1-Table13[[#This Row],[Discount]])</f>
        <v>12591.3</v>
      </c>
    </row>
    <row r="283" spans="1:14" x14ac:dyDescent="0.35">
      <c r="A283" s="4">
        <v>1155</v>
      </c>
      <c r="B283" s="5">
        <v>46172</v>
      </c>
      <c r="C283" s="6" t="s">
        <v>43</v>
      </c>
      <c r="D283" s="6" t="s">
        <v>31</v>
      </c>
      <c r="E283" s="6" t="s">
        <v>41</v>
      </c>
      <c r="F283" s="6" t="s">
        <v>33</v>
      </c>
      <c r="G283" s="6" t="s">
        <v>53</v>
      </c>
      <c r="H283" s="6">
        <v>6</v>
      </c>
      <c r="I283" s="4">
        <v>1123.44</v>
      </c>
      <c r="J283" s="4">
        <v>0</v>
      </c>
      <c r="K283" s="7">
        <v>6740.64</v>
      </c>
      <c r="L283" s="6" t="s">
        <v>35</v>
      </c>
      <c r="M283" s="6" t="s">
        <v>36</v>
      </c>
      <c r="N283" s="7">
        <f>Table13[[#This Row],[Quantity]]*Table13[[#This Row],[UnitPrice]]*(1-Table13[[#This Row],[Discount]])</f>
        <v>6740.64</v>
      </c>
    </row>
    <row r="284" spans="1:14" hidden="1" x14ac:dyDescent="0.35">
      <c r="A284" s="8">
        <v>1190</v>
      </c>
      <c r="B284" s="2">
        <v>46172</v>
      </c>
      <c r="C284" t="s">
        <v>27</v>
      </c>
      <c r="D284" t="s">
        <v>31</v>
      </c>
      <c r="E284" t="s">
        <v>81</v>
      </c>
      <c r="F284" t="s">
        <v>24</v>
      </c>
      <c r="G284" t="s">
        <v>38</v>
      </c>
      <c r="H284">
        <v>4</v>
      </c>
      <c r="I284" s="8">
        <v>96.88</v>
      </c>
      <c r="J284" s="8">
        <v>0.1</v>
      </c>
      <c r="K284" s="3">
        <v>348.77</v>
      </c>
      <c r="L284" t="s">
        <v>19</v>
      </c>
      <c r="M284" t="s">
        <v>26</v>
      </c>
      <c r="N284" s="3">
        <f>Table13[[#This Row],[Quantity]]*Table13[[#This Row],[UnitPrice]]*(1-Table13[[#This Row],[Discount]])</f>
        <v>348.76799999999997</v>
      </c>
    </row>
    <row r="285" spans="1:14" hidden="1" x14ac:dyDescent="0.35">
      <c r="A285" s="8">
        <v>1012</v>
      </c>
      <c r="B285" s="2">
        <v>46175</v>
      </c>
      <c r="C285" t="s">
        <v>14</v>
      </c>
      <c r="D285" t="s">
        <v>28</v>
      </c>
      <c r="E285" t="s">
        <v>44</v>
      </c>
      <c r="F285" t="s">
        <v>33</v>
      </c>
      <c r="G285" t="s">
        <v>53</v>
      </c>
      <c r="H285" s="8">
        <v>7</v>
      </c>
      <c r="I285" s="8">
        <v>767.22</v>
      </c>
      <c r="J285" s="8">
        <v>0.05</v>
      </c>
      <c r="K285" s="3">
        <v>5102.01</v>
      </c>
      <c r="L285" t="s">
        <v>39</v>
      </c>
      <c r="M285" t="s">
        <v>20</v>
      </c>
      <c r="N285" s="3">
        <f>Table13[[#This Row],[Quantity]]*Table13[[#This Row],[UnitPrice]]*(1-Table13[[#This Row],[Discount]])</f>
        <v>5102.0129999999999</v>
      </c>
    </row>
    <row r="286" spans="1:14" hidden="1" x14ac:dyDescent="0.35">
      <c r="A286" s="8">
        <v>1295</v>
      </c>
      <c r="B286" s="2">
        <v>46178</v>
      </c>
      <c r="C286" t="s">
        <v>27</v>
      </c>
      <c r="D286" t="s">
        <v>22</v>
      </c>
      <c r="E286" t="s">
        <v>66</v>
      </c>
      <c r="F286" t="s">
        <v>24</v>
      </c>
      <c r="G286" t="s">
        <v>38</v>
      </c>
      <c r="H286">
        <v>3</v>
      </c>
      <c r="I286" s="8">
        <v>174.72</v>
      </c>
      <c r="J286" s="8">
        <v>0.15</v>
      </c>
      <c r="K286" s="3">
        <v>445.54</v>
      </c>
      <c r="L286" t="s">
        <v>19</v>
      </c>
      <c r="M286" t="s">
        <v>26</v>
      </c>
      <c r="N286" s="3">
        <f>Table13[[#This Row],[Quantity]]*Table13[[#This Row],[UnitPrice]]*(1-Table13[[#This Row],[Discount]])</f>
        <v>445.53599999999994</v>
      </c>
    </row>
    <row r="287" spans="1:14" hidden="1" x14ac:dyDescent="0.35">
      <c r="A287" s="8">
        <v>1005</v>
      </c>
      <c r="B287" s="2">
        <v>46180</v>
      </c>
      <c r="C287" t="s">
        <v>21</v>
      </c>
      <c r="D287" t="s">
        <v>28</v>
      </c>
      <c r="E287" t="s">
        <v>50</v>
      </c>
      <c r="F287" t="s">
        <v>33</v>
      </c>
      <c r="G287" t="s">
        <v>61</v>
      </c>
      <c r="H287" s="8">
        <v>8</v>
      </c>
      <c r="I287" s="8">
        <v>510.37</v>
      </c>
      <c r="J287" s="8">
        <v>0.05</v>
      </c>
      <c r="K287" s="3">
        <v>3878.81</v>
      </c>
      <c r="L287" t="s">
        <v>39</v>
      </c>
      <c r="M287" t="s">
        <v>26</v>
      </c>
      <c r="N287" s="3">
        <f>Table13[[#This Row],[Quantity]]*Table13[[#This Row],[UnitPrice]]*(1-Table13[[#This Row],[Discount]])</f>
        <v>3878.8119999999999</v>
      </c>
    </row>
    <row r="288" spans="1:14" x14ac:dyDescent="0.35">
      <c r="A288" s="4">
        <v>1013</v>
      </c>
      <c r="B288" s="5">
        <v>46181</v>
      </c>
      <c r="C288" s="6" t="s">
        <v>43</v>
      </c>
      <c r="D288" s="6" t="s">
        <v>15</v>
      </c>
      <c r="E288" s="6" t="s">
        <v>65</v>
      </c>
      <c r="F288" s="6" t="s">
        <v>33</v>
      </c>
      <c r="G288" s="6" t="s">
        <v>53</v>
      </c>
      <c r="H288" s="4">
        <v>14</v>
      </c>
      <c r="I288" s="4">
        <v>434.94</v>
      </c>
      <c r="J288" s="4">
        <v>0.15</v>
      </c>
      <c r="K288" s="7">
        <v>5175.79</v>
      </c>
      <c r="L288" s="6" t="s">
        <v>39</v>
      </c>
      <c r="M288" s="6" t="s">
        <v>26</v>
      </c>
      <c r="N288" s="7">
        <f>Table13[[#This Row],[Quantity]]*Table13[[#This Row],[UnitPrice]]*(1-Table13[[#This Row],[Discount]])</f>
        <v>5175.7860000000001</v>
      </c>
    </row>
    <row r="289" spans="1:14" hidden="1" x14ac:dyDescent="0.35">
      <c r="A289" s="8">
        <v>1207</v>
      </c>
      <c r="B289" s="2">
        <v>46181</v>
      </c>
      <c r="C289" t="s">
        <v>14</v>
      </c>
      <c r="D289" t="s">
        <v>28</v>
      </c>
      <c r="E289" t="s">
        <v>84</v>
      </c>
      <c r="F289" t="s">
        <v>33</v>
      </c>
      <c r="G289" t="s">
        <v>34</v>
      </c>
      <c r="H289">
        <v>13</v>
      </c>
      <c r="I289" s="8">
        <v>395.19</v>
      </c>
      <c r="J289" s="8">
        <v>0.15</v>
      </c>
      <c r="K289" s="3">
        <v>4366.8500000000004</v>
      </c>
      <c r="L289" t="s">
        <v>35</v>
      </c>
      <c r="M289" t="s">
        <v>36</v>
      </c>
      <c r="N289" s="3">
        <f>Table13[[#This Row],[Quantity]]*Table13[[#This Row],[UnitPrice]]*(1-Table13[[#This Row],[Discount]])</f>
        <v>4366.8495000000003</v>
      </c>
    </row>
    <row r="290" spans="1:14" hidden="1" x14ac:dyDescent="0.35">
      <c r="A290" s="8">
        <v>1275</v>
      </c>
      <c r="B290" s="2">
        <v>46187</v>
      </c>
      <c r="C290" t="s">
        <v>21</v>
      </c>
      <c r="D290" t="s">
        <v>31</v>
      </c>
      <c r="E290" t="s">
        <v>64</v>
      </c>
      <c r="F290" t="s">
        <v>17</v>
      </c>
      <c r="G290" t="s">
        <v>30</v>
      </c>
      <c r="H290">
        <v>5</v>
      </c>
      <c r="I290" s="8">
        <v>406.32</v>
      </c>
      <c r="J290" s="8">
        <v>0</v>
      </c>
      <c r="K290" s="3">
        <v>2031.6</v>
      </c>
      <c r="L290" t="s">
        <v>39</v>
      </c>
      <c r="M290" t="s">
        <v>26</v>
      </c>
      <c r="N290" s="3">
        <f>Table13[[#This Row],[Quantity]]*Table13[[#This Row],[UnitPrice]]*(1-Table13[[#This Row],[Discount]])</f>
        <v>2031.6</v>
      </c>
    </row>
    <row r="291" spans="1:14" hidden="1" x14ac:dyDescent="0.35">
      <c r="A291" s="8">
        <v>1083</v>
      </c>
      <c r="B291" s="2">
        <v>46187</v>
      </c>
      <c r="C291" t="s">
        <v>27</v>
      </c>
      <c r="D291" t="s">
        <v>15</v>
      </c>
      <c r="E291" t="s">
        <v>102</v>
      </c>
      <c r="F291" t="s">
        <v>24</v>
      </c>
      <c r="G291" t="s">
        <v>25</v>
      </c>
      <c r="H291">
        <v>10</v>
      </c>
      <c r="I291" s="8">
        <v>40.25</v>
      </c>
      <c r="J291" s="8">
        <v>0.15</v>
      </c>
      <c r="K291" s="3">
        <v>342.12</v>
      </c>
      <c r="L291" t="s">
        <v>35</v>
      </c>
      <c r="M291" t="s">
        <v>20</v>
      </c>
      <c r="N291" s="3">
        <f>Table13[[#This Row],[Quantity]]*Table13[[#This Row],[UnitPrice]]*(1-Table13[[#This Row],[Discount]])</f>
        <v>342.125</v>
      </c>
    </row>
    <row r="292" spans="1:14" x14ac:dyDescent="0.35">
      <c r="A292" s="4">
        <v>1042</v>
      </c>
      <c r="B292" s="5">
        <v>46188</v>
      </c>
      <c r="C292" s="6" t="s">
        <v>43</v>
      </c>
      <c r="D292" s="6" t="s">
        <v>47</v>
      </c>
      <c r="E292" s="6" t="s">
        <v>87</v>
      </c>
      <c r="F292" s="6" t="s">
        <v>33</v>
      </c>
      <c r="G292" s="6" t="s">
        <v>61</v>
      </c>
      <c r="H292" s="6">
        <v>3</v>
      </c>
      <c r="I292" s="4">
        <v>698.16</v>
      </c>
      <c r="J292" s="4">
        <v>0</v>
      </c>
      <c r="K292" s="7">
        <v>2094.48</v>
      </c>
      <c r="L292" s="6" t="s">
        <v>35</v>
      </c>
      <c r="M292" s="6" t="s">
        <v>36</v>
      </c>
      <c r="N292" s="7">
        <f>Table13[[#This Row],[Quantity]]*Table13[[#This Row],[UnitPrice]]*(1-Table13[[#This Row],[Discount]])</f>
        <v>2094.48</v>
      </c>
    </row>
    <row r="293" spans="1:14" hidden="1" x14ac:dyDescent="0.35">
      <c r="A293" s="8">
        <v>1242</v>
      </c>
      <c r="B293" s="2">
        <v>46188</v>
      </c>
      <c r="C293" t="s">
        <v>14</v>
      </c>
      <c r="D293" t="s">
        <v>22</v>
      </c>
      <c r="E293" t="s">
        <v>114</v>
      </c>
      <c r="F293" t="s">
        <v>17</v>
      </c>
      <c r="G293" t="s">
        <v>18</v>
      </c>
      <c r="H293">
        <v>2</v>
      </c>
      <c r="I293" s="8">
        <v>288.26</v>
      </c>
      <c r="J293" s="8">
        <v>0.15</v>
      </c>
      <c r="K293" s="3">
        <v>490.04</v>
      </c>
      <c r="L293" t="s">
        <v>19</v>
      </c>
      <c r="M293" t="s">
        <v>36</v>
      </c>
      <c r="N293" s="3">
        <f>Table13[[#This Row],[Quantity]]*Table13[[#This Row],[UnitPrice]]*(1-Table13[[#This Row],[Discount]])</f>
        <v>490.04199999999997</v>
      </c>
    </row>
    <row r="294" spans="1:14" x14ac:dyDescent="0.35">
      <c r="A294" s="4">
        <v>1251</v>
      </c>
      <c r="B294" s="5">
        <v>46190</v>
      </c>
      <c r="C294" s="6" t="s">
        <v>43</v>
      </c>
      <c r="D294" s="6" t="s">
        <v>54</v>
      </c>
      <c r="E294" s="6" t="s">
        <v>77</v>
      </c>
      <c r="F294" s="6" t="s">
        <v>33</v>
      </c>
      <c r="G294" s="6" t="s">
        <v>34</v>
      </c>
      <c r="H294" s="6">
        <v>1</v>
      </c>
      <c r="I294" s="4">
        <v>901.45</v>
      </c>
      <c r="J294" s="4">
        <v>0.1</v>
      </c>
      <c r="K294" s="7">
        <v>811.31</v>
      </c>
      <c r="L294" s="6" t="s">
        <v>35</v>
      </c>
      <c r="M294" s="6" t="s">
        <v>36</v>
      </c>
      <c r="N294" s="7">
        <f>Table13[[#This Row],[Quantity]]*Table13[[#This Row],[UnitPrice]]*(1-Table13[[#This Row],[Discount]])</f>
        <v>811.30500000000006</v>
      </c>
    </row>
    <row r="295" spans="1:14" hidden="1" x14ac:dyDescent="0.35">
      <c r="A295" s="8">
        <v>1135</v>
      </c>
      <c r="B295" s="2">
        <v>46192</v>
      </c>
      <c r="C295" t="s">
        <v>27</v>
      </c>
      <c r="D295" t="s">
        <v>54</v>
      </c>
      <c r="E295" t="s">
        <v>81</v>
      </c>
      <c r="F295" t="s">
        <v>17</v>
      </c>
      <c r="G295" t="s">
        <v>18</v>
      </c>
      <c r="H295">
        <v>6</v>
      </c>
      <c r="I295" s="8">
        <v>713.97</v>
      </c>
      <c r="J295" s="8">
        <v>0.15</v>
      </c>
      <c r="K295" s="3">
        <v>3641.25</v>
      </c>
      <c r="L295" t="s">
        <v>19</v>
      </c>
      <c r="M295" t="s">
        <v>20</v>
      </c>
      <c r="N295" s="3">
        <f>Table13[[#This Row],[Quantity]]*Table13[[#This Row],[UnitPrice]]*(1-Table13[[#This Row],[Discount]])</f>
        <v>3641.2469999999998</v>
      </c>
    </row>
    <row r="296" spans="1:14" hidden="1" x14ac:dyDescent="0.35">
      <c r="A296" s="8">
        <v>1187</v>
      </c>
      <c r="B296" s="2">
        <v>46194</v>
      </c>
      <c r="C296" t="s">
        <v>27</v>
      </c>
      <c r="D296" t="s">
        <v>28</v>
      </c>
      <c r="E296" t="s">
        <v>16</v>
      </c>
      <c r="F296" t="s">
        <v>33</v>
      </c>
      <c r="G296" t="s">
        <v>53</v>
      </c>
      <c r="H296">
        <v>7</v>
      </c>
      <c r="I296" s="8">
        <v>560.34</v>
      </c>
      <c r="J296" s="8">
        <v>0.15</v>
      </c>
      <c r="K296" s="3">
        <v>3334.02</v>
      </c>
      <c r="L296" t="s">
        <v>19</v>
      </c>
      <c r="M296" t="s">
        <v>20</v>
      </c>
      <c r="N296" s="3">
        <f>Table13[[#This Row],[Quantity]]*Table13[[#This Row],[UnitPrice]]*(1-Table13[[#This Row],[Discount]])</f>
        <v>3334.0230000000001</v>
      </c>
    </row>
    <row r="297" spans="1:14" x14ac:dyDescent="0.35">
      <c r="A297" s="4">
        <v>1027</v>
      </c>
      <c r="B297" s="5">
        <v>46195</v>
      </c>
      <c r="C297" s="6" t="s">
        <v>43</v>
      </c>
      <c r="D297" s="6" t="s">
        <v>47</v>
      </c>
      <c r="E297" s="6" t="s">
        <v>50</v>
      </c>
      <c r="F297" s="6" t="s">
        <v>24</v>
      </c>
      <c r="G297" s="6" t="s">
        <v>38</v>
      </c>
      <c r="H297" s="4">
        <v>15</v>
      </c>
      <c r="I297" s="4">
        <v>962.28</v>
      </c>
      <c r="J297" s="4">
        <v>0.1</v>
      </c>
      <c r="K297" s="7">
        <v>12990.78</v>
      </c>
      <c r="L297" s="6" t="s">
        <v>19</v>
      </c>
      <c r="M297" s="6" t="s">
        <v>20</v>
      </c>
      <c r="N297" s="7">
        <f>Table13[[#This Row],[Quantity]]*Table13[[#This Row],[UnitPrice]]*(1-Table13[[#This Row],[Discount]])</f>
        <v>12990.779999999999</v>
      </c>
    </row>
    <row r="298" spans="1:14" hidden="1" x14ac:dyDescent="0.35">
      <c r="A298" s="8">
        <v>1149</v>
      </c>
      <c r="B298" s="2">
        <v>46195</v>
      </c>
      <c r="C298" t="s">
        <v>21</v>
      </c>
      <c r="D298" t="s">
        <v>28</v>
      </c>
      <c r="E298" t="s">
        <v>69</v>
      </c>
      <c r="F298" t="s">
        <v>17</v>
      </c>
      <c r="G298" t="s">
        <v>46</v>
      </c>
      <c r="H298">
        <v>10</v>
      </c>
      <c r="I298" s="8">
        <v>1063.48</v>
      </c>
      <c r="J298" s="8">
        <v>0.05</v>
      </c>
      <c r="K298" s="3">
        <v>10103.06</v>
      </c>
      <c r="L298" t="s">
        <v>35</v>
      </c>
      <c r="M298" t="s">
        <v>26</v>
      </c>
      <c r="N298" s="3">
        <f>Table13[[#This Row],[Quantity]]*Table13[[#This Row],[UnitPrice]]*(1-Table13[[#This Row],[Discount]])</f>
        <v>10103.06</v>
      </c>
    </row>
    <row r="299" spans="1:14" x14ac:dyDescent="0.35">
      <c r="A299" s="4">
        <v>1106</v>
      </c>
      <c r="B299" s="5">
        <v>46196</v>
      </c>
      <c r="C299" s="6" t="s">
        <v>43</v>
      </c>
      <c r="D299" s="6" t="s">
        <v>15</v>
      </c>
      <c r="E299" s="6" t="s">
        <v>85</v>
      </c>
      <c r="F299" s="6" t="s">
        <v>24</v>
      </c>
      <c r="G299" s="6" t="s">
        <v>25</v>
      </c>
      <c r="H299" s="6">
        <v>15</v>
      </c>
      <c r="I299" s="4">
        <v>564.28</v>
      </c>
      <c r="J299" s="4">
        <v>0</v>
      </c>
      <c r="K299" s="7">
        <v>8464.2000000000007</v>
      </c>
      <c r="L299" s="6" t="s">
        <v>35</v>
      </c>
      <c r="M299" s="6" t="s">
        <v>36</v>
      </c>
      <c r="N299" s="7">
        <f>Table13[[#This Row],[Quantity]]*Table13[[#This Row],[UnitPrice]]*(1-Table13[[#This Row],[Discount]])</f>
        <v>8464.1999999999989</v>
      </c>
    </row>
    <row r="300" spans="1:14" hidden="1" x14ac:dyDescent="0.35">
      <c r="A300" s="8">
        <v>1151</v>
      </c>
      <c r="B300" s="2">
        <v>46197</v>
      </c>
      <c r="C300" t="s">
        <v>27</v>
      </c>
      <c r="D300" t="s">
        <v>31</v>
      </c>
      <c r="E300" t="s">
        <v>97</v>
      </c>
      <c r="F300" t="s">
        <v>17</v>
      </c>
      <c r="G300" t="s">
        <v>46</v>
      </c>
      <c r="H300">
        <v>3</v>
      </c>
      <c r="I300" s="8">
        <v>411.34</v>
      </c>
      <c r="J300" s="8">
        <v>0</v>
      </c>
      <c r="K300" s="3">
        <v>1234.02</v>
      </c>
      <c r="L300" t="s">
        <v>19</v>
      </c>
      <c r="M300" t="s">
        <v>26</v>
      </c>
      <c r="N300" s="3">
        <f>Table13[[#This Row],[Quantity]]*Table13[[#This Row],[UnitPrice]]*(1-Table13[[#This Row],[Discount]])</f>
        <v>1234.02</v>
      </c>
    </row>
    <row r="301" spans="1:14" hidden="1" x14ac:dyDescent="0.35">
      <c r="A301" s="8">
        <v>1049</v>
      </c>
      <c r="B301" s="2">
        <v>46198</v>
      </c>
      <c r="C301" t="s">
        <v>14</v>
      </c>
      <c r="D301" t="s">
        <v>28</v>
      </c>
      <c r="E301" t="s">
        <v>59</v>
      </c>
      <c r="F301" t="s">
        <v>24</v>
      </c>
      <c r="G301" t="s">
        <v>63</v>
      </c>
      <c r="H301">
        <v>6</v>
      </c>
      <c r="I301" s="8">
        <v>447.58</v>
      </c>
      <c r="J301" s="8">
        <v>0.15</v>
      </c>
      <c r="K301" s="3">
        <v>2282.66</v>
      </c>
      <c r="L301" t="s">
        <v>19</v>
      </c>
      <c r="M301" t="s">
        <v>36</v>
      </c>
      <c r="N301" s="3">
        <f>Table13[[#This Row],[Quantity]]*Table13[[#This Row],[UnitPrice]]*(1-Table13[[#This Row],[Discount]])</f>
        <v>2282.6579999999999</v>
      </c>
    </row>
  </sheetData>
  <conditionalFormatting sqref="A1:A301">
    <cfRule type="duplicateValues" dxfId="6" priority="5"/>
  </conditionalFormatting>
  <conditionalFormatting sqref="D1:D301">
    <cfRule type="dataBar" priority="6">
      <dataBar>
        <cfvo type="min"/>
        <cfvo type="max"/>
        <color rgb="FF638EC6"/>
      </dataBar>
    </cfRule>
  </conditionalFormatting>
  <conditionalFormatting sqref="F1:F1048576">
    <cfRule type="containsText" dxfId="5" priority="4" operator="containsText" text="Electronics">
      <formula>NOT(ISERROR(SEARCH("Electronics",F1)))</formula>
    </cfRule>
  </conditionalFormatting>
  <conditionalFormatting sqref="K10:K299">
    <cfRule type="cellIs" dxfId="4" priority="3" operator="greaterThan">
      <formula>10000</formula>
    </cfRule>
  </conditionalFormatting>
  <conditionalFormatting sqref="M1:M301">
    <cfRule type="containsText" dxfId="3" priority="7" operator="containsText" text="Pending">
      <formula>NOT(ISERROR(SEARCH("Pending",M1)))</formula>
    </cfRule>
    <cfRule type="containsText" dxfId="2" priority="8" operator="containsText" text="Pending">
      <formula>NOT(ISERROR(SEARCH("Pending",M1)))</formula>
    </cfRule>
  </conditionalFormatting>
  <conditionalFormatting sqref="M1:M1048576">
    <cfRule type="containsText" dxfId="1" priority="1" operator="containsText" text="Returned">
      <formula>NOT(ISERROR(SEARCH("Returned",M1)))</formula>
    </cfRule>
    <cfRule type="containsText" dxfId="0" priority="2" operator="containsText" text="Returned">
      <formula>NOT(ISERROR(SEARCH("Returned",M1)))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KP56"/>
  <sheetViews>
    <sheetView tabSelected="1" topLeftCell="A19" zoomScale="91" workbookViewId="0">
      <selection activeCell="D12" sqref="D12"/>
    </sheetView>
  </sheetViews>
  <sheetFormatPr defaultRowHeight="14.5" x14ac:dyDescent="0.35"/>
  <cols>
    <col min="1" max="1" width="16.36328125" style="10" customWidth="1"/>
    <col min="2" max="2" width="19.6328125" style="10" customWidth="1"/>
    <col min="3" max="4" width="13.1796875" style="10" bestFit="1" customWidth="1"/>
    <col min="5" max="5" width="19.453125" style="10" customWidth="1"/>
    <col min="6" max="6" width="17.26953125" style="10" customWidth="1"/>
    <col min="7" max="7" width="4.453125" style="10" customWidth="1"/>
    <col min="8" max="8" width="11.08984375" style="10" bestFit="1" customWidth="1"/>
    <col min="9" max="9" width="14.6328125" style="10" bestFit="1" customWidth="1"/>
    <col min="10" max="10" width="15.36328125" style="10" bestFit="1" customWidth="1"/>
    <col min="11" max="11" width="19.453125" style="10" customWidth="1"/>
    <col min="12" max="12" width="18.26953125" style="10" customWidth="1"/>
    <col min="13" max="13" width="20.81640625" style="10" customWidth="1"/>
    <col min="14" max="14" width="15.81640625" style="10" customWidth="1"/>
    <col min="15" max="15" width="11.54296875" style="10" bestFit="1" customWidth="1"/>
    <col min="16" max="19" width="6.36328125" style="10" bestFit="1" customWidth="1"/>
    <col min="20" max="20" width="9.08984375" style="10" bestFit="1" customWidth="1"/>
    <col min="21" max="24" width="6.54296875" style="10" bestFit="1" customWidth="1"/>
    <col min="25" max="25" width="9.36328125" style="10" bestFit="1" customWidth="1"/>
    <col min="26" max="29" width="6.26953125" style="10" bestFit="1" customWidth="1"/>
    <col min="30" max="30" width="9.1796875" style="10" bestFit="1" customWidth="1"/>
    <col min="31" max="31" width="10.7265625" style="10" bestFit="1" customWidth="1"/>
    <col min="32" max="42" width="5.36328125" style="10" bestFit="1" customWidth="1"/>
    <col min="43" max="249" width="6.36328125" style="10" bestFit="1" customWidth="1"/>
    <col min="250" max="301" width="7.36328125" style="10" bestFit="1" customWidth="1"/>
    <col min="302" max="302" width="10.7265625" style="10" bestFit="1" customWidth="1"/>
  </cols>
  <sheetData>
    <row r="2" spans="1:12" ht="23.5" customHeight="1" x14ac:dyDescent="0.35">
      <c r="A2" s="31" t="s">
        <v>124</v>
      </c>
      <c r="B2" s="29"/>
      <c r="E2" s="31" t="s">
        <v>125</v>
      </c>
      <c r="F2" s="29"/>
      <c r="H2" s="31" t="s">
        <v>126</v>
      </c>
      <c r="I2" s="29"/>
      <c r="K2" s="31" t="s">
        <v>127</v>
      </c>
      <c r="L2" s="29"/>
    </row>
    <row r="3" spans="1:12" x14ac:dyDescent="0.35">
      <c r="A3" s="19" t="s">
        <v>2</v>
      </c>
      <c r="B3" s="20" t="s">
        <v>128</v>
      </c>
      <c r="E3" s="19" t="s">
        <v>5</v>
      </c>
      <c r="F3" s="20" t="s">
        <v>129</v>
      </c>
      <c r="H3" s="9" t="s">
        <v>130</v>
      </c>
      <c r="I3" t="s">
        <v>131</v>
      </c>
      <c r="K3" s="9" t="s">
        <v>2</v>
      </c>
      <c r="L3" t="s">
        <v>132</v>
      </c>
    </row>
    <row r="4" spans="1:12" x14ac:dyDescent="0.35">
      <c r="A4" s="8" t="s">
        <v>43</v>
      </c>
      <c r="B4" s="13">
        <v>284068.74599999993</v>
      </c>
      <c r="E4" s="8" t="s">
        <v>17</v>
      </c>
      <c r="F4" s="13">
        <v>514032.30000000022</v>
      </c>
      <c r="H4" s="8" t="s">
        <v>47</v>
      </c>
      <c r="I4">
        <v>318</v>
      </c>
      <c r="K4" s="8" t="s">
        <v>27</v>
      </c>
      <c r="L4" s="13">
        <v>4045.0220833333328</v>
      </c>
    </row>
    <row r="5" spans="1:12" x14ac:dyDescent="0.35">
      <c r="A5" s="8" t="s">
        <v>21</v>
      </c>
      <c r="B5" s="13">
        <v>274259.0122</v>
      </c>
      <c r="E5" s="8" t="s">
        <v>33</v>
      </c>
      <c r="F5" s="13">
        <v>413337.16999999993</v>
      </c>
      <c r="H5" s="8" t="s">
        <v>54</v>
      </c>
      <c r="I5">
        <v>346</v>
      </c>
      <c r="K5" s="8" t="s">
        <v>43</v>
      </c>
      <c r="L5" s="13">
        <v>4441.3500000000004</v>
      </c>
    </row>
    <row r="6" spans="1:12" x14ac:dyDescent="0.35">
      <c r="A6" s="8" t="s">
        <v>14</v>
      </c>
      <c r="B6" s="13">
        <v>269578.26359999989</v>
      </c>
      <c r="E6" s="12" t="s">
        <v>24</v>
      </c>
      <c r="F6" s="13">
        <v>373513.61</v>
      </c>
      <c r="H6" s="8" t="s">
        <v>15</v>
      </c>
      <c r="I6">
        <v>393</v>
      </c>
      <c r="K6" s="8" t="s">
        <v>14</v>
      </c>
      <c r="L6" s="13">
        <v>4161.442784810125</v>
      </c>
    </row>
    <row r="7" spans="1:12" x14ac:dyDescent="0.35">
      <c r="A7" s="8" t="s">
        <v>27</v>
      </c>
      <c r="B7" s="13">
        <v>238818.10380000001</v>
      </c>
      <c r="E7" s="8" t="s">
        <v>133</v>
      </c>
      <c r="F7" s="13">
        <v>1300883.08</v>
      </c>
      <c r="H7" s="8" t="s">
        <v>31</v>
      </c>
      <c r="I7">
        <v>499</v>
      </c>
      <c r="K7" s="8" t="s">
        <v>21</v>
      </c>
      <c r="L7" s="13">
        <v>4710.7353521126743</v>
      </c>
    </row>
    <row r="8" spans="1:12" x14ac:dyDescent="0.35">
      <c r="A8" s="8" t="s">
        <v>133</v>
      </c>
      <c r="B8" s="13">
        <v>1066724.1255999999</v>
      </c>
      <c r="H8" s="8" t="s">
        <v>22</v>
      </c>
      <c r="I8">
        <v>410</v>
      </c>
      <c r="K8" s="8" t="s">
        <v>133</v>
      </c>
      <c r="L8" s="13">
        <v>4336.2769333333372</v>
      </c>
    </row>
    <row r="9" spans="1:12" x14ac:dyDescent="0.35">
      <c r="H9" s="8" t="s">
        <v>28</v>
      </c>
      <c r="I9">
        <v>450</v>
      </c>
    </row>
    <row r="10" spans="1:12" x14ac:dyDescent="0.35">
      <c r="H10" s="8" t="s">
        <v>133</v>
      </c>
      <c r="I10">
        <v>2416</v>
      </c>
    </row>
    <row r="12" spans="1:12" ht="20.5" customHeight="1" x14ac:dyDescent="0.35">
      <c r="A12" s="28" t="s">
        <v>134</v>
      </c>
      <c r="B12" s="29"/>
      <c r="E12" s="32" t="s">
        <v>135</v>
      </c>
      <c r="F12" s="29"/>
      <c r="H12" s="28" t="s">
        <v>136</v>
      </c>
      <c r="I12" s="29"/>
      <c r="K12" s="28" t="s">
        <v>137</v>
      </c>
      <c r="L12" s="29"/>
    </row>
    <row r="13" spans="1:12" x14ac:dyDescent="0.35">
      <c r="A13" s="9" t="s">
        <v>138</v>
      </c>
      <c r="B13" t="s">
        <v>139</v>
      </c>
      <c r="E13" s="9" t="s">
        <v>140</v>
      </c>
      <c r="F13" t="s">
        <v>139</v>
      </c>
      <c r="H13" s="9" t="s">
        <v>141</v>
      </c>
      <c r="I13" t="s">
        <v>142</v>
      </c>
      <c r="K13" s="9" t="s">
        <v>143</v>
      </c>
      <c r="L13" t="s">
        <v>144</v>
      </c>
    </row>
    <row r="14" spans="1:12" x14ac:dyDescent="0.35">
      <c r="A14" s="8" t="s">
        <v>19</v>
      </c>
      <c r="B14" s="13">
        <v>432126.04999999987</v>
      </c>
      <c r="E14" s="8" t="s">
        <v>20</v>
      </c>
      <c r="F14" s="13">
        <v>315531.01</v>
      </c>
      <c r="H14" s="8" t="s">
        <v>145</v>
      </c>
      <c r="I14" s="13">
        <v>187277.53</v>
      </c>
      <c r="K14" s="8" t="s">
        <v>146</v>
      </c>
      <c r="L14" s="13">
        <v>402758.58999999991</v>
      </c>
    </row>
    <row r="15" spans="1:12" x14ac:dyDescent="0.35">
      <c r="A15" s="8" t="s">
        <v>35</v>
      </c>
      <c r="B15" s="13">
        <v>477239.6</v>
      </c>
      <c r="E15" s="8" t="s">
        <v>36</v>
      </c>
      <c r="F15" s="13">
        <v>477706.28000000009</v>
      </c>
      <c r="H15" s="8" t="s">
        <v>147</v>
      </c>
      <c r="I15" s="13">
        <v>177264.09</v>
      </c>
      <c r="K15" s="8" t="s">
        <v>148</v>
      </c>
      <c r="L15" s="13">
        <v>487438.06</v>
      </c>
    </row>
    <row r="16" spans="1:12" x14ac:dyDescent="0.35">
      <c r="A16" s="8" t="s">
        <v>39</v>
      </c>
      <c r="B16" s="13">
        <v>391517.43000000011</v>
      </c>
      <c r="E16" s="8" t="s">
        <v>26</v>
      </c>
      <c r="F16" s="13">
        <v>507645.78999999969</v>
      </c>
      <c r="H16" s="8" t="s">
        <v>149</v>
      </c>
      <c r="I16" s="13">
        <v>143995.82999999999</v>
      </c>
      <c r="K16" s="8" t="s">
        <v>150</v>
      </c>
      <c r="L16" s="13">
        <v>205802.19</v>
      </c>
    </row>
    <row r="17" spans="1:12" x14ac:dyDescent="0.35">
      <c r="A17" s="8" t="s">
        <v>133</v>
      </c>
      <c r="B17" s="13">
        <v>1300883.08</v>
      </c>
      <c r="E17" s="8" t="s">
        <v>133</v>
      </c>
      <c r="F17" s="13">
        <v>1300883.08</v>
      </c>
      <c r="H17" s="8" t="s">
        <v>151</v>
      </c>
      <c r="I17" s="13">
        <v>141979.48000000001</v>
      </c>
      <c r="K17" s="8" t="s">
        <v>152</v>
      </c>
      <c r="L17" s="13">
        <v>204884.24</v>
      </c>
    </row>
    <row r="18" spans="1:12" x14ac:dyDescent="0.35">
      <c r="H18" s="8" t="s">
        <v>153</v>
      </c>
      <c r="I18" s="13">
        <v>122896.44</v>
      </c>
      <c r="K18" s="8" t="s">
        <v>133</v>
      </c>
      <c r="L18" s="13">
        <v>1300883.08</v>
      </c>
    </row>
    <row r="19" spans="1:12" x14ac:dyDescent="0.35">
      <c r="H19" s="8" t="s">
        <v>154</v>
      </c>
      <c r="I19" s="13">
        <v>116783.28</v>
      </c>
    </row>
    <row r="20" spans="1:12" x14ac:dyDescent="0.35">
      <c r="A20" s="28" t="s">
        <v>155</v>
      </c>
      <c r="B20" s="29"/>
      <c r="H20" s="8" t="s">
        <v>156</v>
      </c>
      <c r="I20" s="13">
        <v>90788.04</v>
      </c>
    </row>
    <row r="21" spans="1:12" x14ac:dyDescent="0.35">
      <c r="A21" s="9" t="s">
        <v>6</v>
      </c>
      <c r="B21" t="s">
        <v>157</v>
      </c>
      <c r="E21" s="28" t="s">
        <v>158</v>
      </c>
      <c r="F21" s="29"/>
      <c r="H21" s="8" t="s">
        <v>159</v>
      </c>
      <c r="I21" s="13">
        <v>75341.539999999994</v>
      </c>
      <c r="K21" s="28" t="s">
        <v>160</v>
      </c>
      <c r="L21" s="29"/>
    </row>
    <row r="22" spans="1:12" x14ac:dyDescent="0.35">
      <c r="A22" s="8" t="s">
        <v>18</v>
      </c>
      <c r="B22" s="15">
        <v>371</v>
      </c>
      <c r="E22" s="9" t="s">
        <v>5</v>
      </c>
      <c r="F22" s="8" t="s">
        <v>157</v>
      </c>
      <c r="H22" s="8" t="s">
        <v>161</v>
      </c>
      <c r="I22" s="13">
        <v>74969.240000000005</v>
      </c>
      <c r="K22" s="9" t="s">
        <v>2</v>
      </c>
      <c r="L22" t="s">
        <v>162</v>
      </c>
    </row>
    <row r="23" spans="1:12" x14ac:dyDescent="0.35">
      <c r="A23" s="8" t="s">
        <v>38</v>
      </c>
      <c r="B23" s="15">
        <v>309</v>
      </c>
      <c r="E23" s="8" t="s">
        <v>17</v>
      </c>
      <c r="F23" s="15">
        <v>916</v>
      </c>
      <c r="H23" s="8" t="s">
        <v>163</v>
      </c>
      <c r="I23" s="13">
        <v>64276.02</v>
      </c>
      <c r="K23" s="8" t="s">
        <v>14</v>
      </c>
      <c r="L23">
        <v>79</v>
      </c>
    </row>
    <row r="24" spans="1:12" x14ac:dyDescent="0.35">
      <c r="A24" s="8" t="s">
        <v>46</v>
      </c>
      <c r="B24" s="15">
        <v>292</v>
      </c>
      <c r="E24" s="8" t="s">
        <v>33</v>
      </c>
      <c r="F24" s="15">
        <v>776</v>
      </c>
      <c r="H24" s="8" t="s">
        <v>164</v>
      </c>
      <c r="I24" s="13">
        <v>55491.410000000011</v>
      </c>
      <c r="K24" s="8" t="s">
        <v>43</v>
      </c>
      <c r="L24">
        <v>78</v>
      </c>
    </row>
    <row r="25" spans="1:12" x14ac:dyDescent="0.35">
      <c r="A25" s="8" t="s">
        <v>61</v>
      </c>
      <c r="B25" s="15">
        <v>285</v>
      </c>
      <c r="E25" s="8" t="s">
        <v>24</v>
      </c>
      <c r="F25" s="15">
        <v>724</v>
      </c>
      <c r="H25" s="8" t="s">
        <v>165</v>
      </c>
      <c r="I25" s="13">
        <v>49820.180000000008</v>
      </c>
      <c r="K25" s="8" t="s">
        <v>27</v>
      </c>
      <c r="L25">
        <v>72</v>
      </c>
    </row>
    <row r="26" spans="1:12" x14ac:dyDescent="0.35">
      <c r="A26" s="8" t="s">
        <v>34</v>
      </c>
      <c r="B26" s="15">
        <v>252</v>
      </c>
      <c r="E26" s="8" t="s">
        <v>133</v>
      </c>
      <c r="F26" s="15">
        <v>2416</v>
      </c>
      <c r="H26" s="8" t="s">
        <v>133</v>
      </c>
      <c r="I26" s="13">
        <v>1300883.08</v>
      </c>
      <c r="K26" s="8" t="s">
        <v>21</v>
      </c>
      <c r="L26">
        <v>71</v>
      </c>
    </row>
    <row r="27" spans="1:12" x14ac:dyDescent="0.35">
      <c r="A27" s="8" t="s">
        <v>63</v>
      </c>
      <c r="B27" s="15">
        <v>243</v>
      </c>
      <c r="K27" s="8" t="s">
        <v>133</v>
      </c>
      <c r="L27">
        <v>300</v>
      </c>
    </row>
    <row r="28" spans="1:12" x14ac:dyDescent="0.35">
      <c r="A28" s="8" t="s">
        <v>53</v>
      </c>
      <c r="B28" s="15">
        <v>239</v>
      </c>
    </row>
    <row r="29" spans="1:12" x14ac:dyDescent="0.35">
      <c r="A29" s="8" t="s">
        <v>30</v>
      </c>
      <c r="B29" s="15">
        <v>238</v>
      </c>
    </row>
    <row r="30" spans="1:12" x14ac:dyDescent="0.35">
      <c r="A30" s="8" t="s">
        <v>25</v>
      </c>
      <c r="B30" s="15">
        <v>187</v>
      </c>
    </row>
    <row r="31" spans="1:12" x14ac:dyDescent="0.35">
      <c r="A31" s="8" t="s">
        <v>133</v>
      </c>
      <c r="B31">
        <v>2416</v>
      </c>
    </row>
    <row r="34" spans="1:13" ht="20.5" customHeight="1" x14ac:dyDescent="0.35">
      <c r="A34" s="28" t="s">
        <v>166</v>
      </c>
      <c r="B34" s="29"/>
      <c r="C34" s="29"/>
      <c r="D34" s="29"/>
      <c r="E34" s="29"/>
      <c r="H34" s="28" t="s">
        <v>167</v>
      </c>
      <c r="I34" s="28"/>
      <c r="J34" s="28"/>
      <c r="K34" s="28"/>
      <c r="L34" s="28"/>
      <c r="M34" s="28"/>
    </row>
    <row r="35" spans="1:13" x14ac:dyDescent="0.35">
      <c r="A35" s="9" t="s">
        <v>168</v>
      </c>
      <c r="B35" s="9" t="s">
        <v>5</v>
      </c>
      <c r="H35" s="9" t="s">
        <v>144</v>
      </c>
      <c r="I35" s="9" t="s">
        <v>2</v>
      </c>
    </row>
    <row r="36" spans="1:13" x14ac:dyDescent="0.35">
      <c r="A36" s="9" t="s">
        <v>2</v>
      </c>
      <c r="B36" t="s">
        <v>17</v>
      </c>
      <c r="C36" t="s">
        <v>33</v>
      </c>
      <c r="D36" t="s">
        <v>24</v>
      </c>
      <c r="E36" t="s">
        <v>133</v>
      </c>
      <c r="H36" s="9" t="s">
        <v>138</v>
      </c>
      <c r="I36" t="s">
        <v>27</v>
      </c>
      <c r="J36" t="s">
        <v>43</v>
      </c>
      <c r="K36" t="s">
        <v>14</v>
      </c>
      <c r="L36" t="s">
        <v>21</v>
      </c>
      <c r="M36" t="s">
        <v>133</v>
      </c>
    </row>
    <row r="37" spans="1:13" x14ac:dyDescent="0.35">
      <c r="A37" s="8" t="s">
        <v>21</v>
      </c>
      <c r="B37" s="14">
        <v>114139.2</v>
      </c>
      <c r="C37" s="14">
        <v>144686.23000000001</v>
      </c>
      <c r="D37" s="14">
        <v>75636.780000000013</v>
      </c>
      <c r="E37" s="14">
        <v>334462.21000000008</v>
      </c>
      <c r="H37" s="8" t="s">
        <v>35</v>
      </c>
      <c r="I37" s="13">
        <v>91233.89999999998</v>
      </c>
      <c r="J37" s="13">
        <v>135832.60999999999</v>
      </c>
      <c r="K37" s="13">
        <v>131474.85</v>
      </c>
      <c r="L37" s="13">
        <v>118698.24000000001</v>
      </c>
      <c r="M37" s="13">
        <v>477239.6</v>
      </c>
    </row>
    <row r="38" spans="1:13" x14ac:dyDescent="0.35">
      <c r="A38" s="8" t="s">
        <v>14</v>
      </c>
      <c r="B38" s="14">
        <v>131276.28</v>
      </c>
      <c r="C38" s="14">
        <v>113968.74</v>
      </c>
      <c r="D38" s="14">
        <v>83508.959999999977</v>
      </c>
      <c r="E38" s="14">
        <v>328753.98</v>
      </c>
      <c r="H38" s="8" t="s">
        <v>19</v>
      </c>
      <c r="I38" s="13">
        <v>84327.42</v>
      </c>
      <c r="J38" s="13">
        <v>131899.57999999999</v>
      </c>
      <c r="K38" s="13">
        <v>95395.459999999992</v>
      </c>
      <c r="L38" s="13">
        <v>120503.59</v>
      </c>
      <c r="M38" s="13">
        <v>432126.04999999987</v>
      </c>
    </row>
    <row r="39" spans="1:13" x14ac:dyDescent="0.35">
      <c r="A39" s="8" t="s">
        <v>43</v>
      </c>
      <c r="B39" s="14">
        <v>143479.26999999999</v>
      </c>
      <c r="C39" s="14">
        <v>90448.27</v>
      </c>
      <c r="D39" s="14">
        <v>112497.76</v>
      </c>
      <c r="E39" s="14">
        <v>346425.3</v>
      </c>
      <c r="H39" s="8" t="s">
        <v>39</v>
      </c>
      <c r="I39" s="13">
        <v>115680.27</v>
      </c>
      <c r="J39" s="13">
        <v>78693.11</v>
      </c>
      <c r="K39" s="13">
        <v>101883.67</v>
      </c>
      <c r="L39" s="13">
        <v>95260.38</v>
      </c>
      <c r="M39" s="13">
        <v>391517.43000000011</v>
      </c>
    </row>
    <row r="40" spans="1:13" x14ac:dyDescent="0.35">
      <c r="A40" s="8" t="s">
        <v>27</v>
      </c>
      <c r="B40" s="14">
        <v>125137.55</v>
      </c>
      <c r="C40" s="14">
        <v>64233.929999999993</v>
      </c>
      <c r="D40" s="14">
        <v>101870.11</v>
      </c>
      <c r="E40" s="14">
        <v>291241.59000000003</v>
      </c>
      <c r="H40" s="8" t="s">
        <v>133</v>
      </c>
      <c r="I40" s="13">
        <v>291241.59000000003</v>
      </c>
      <c r="J40" s="13">
        <v>346425.3</v>
      </c>
      <c r="K40" s="13">
        <v>328753.98</v>
      </c>
      <c r="L40" s="13">
        <v>334462.21000000002</v>
      </c>
      <c r="M40" s="13">
        <v>1300883.08</v>
      </c>
    </row>
    <row r="41" spans="1:13" x14ac:dyDescent="0.35">
      <c r="A41" s="8" t="s">
        <v>133</v>
      </c>
      <c r="B41" s="14">
        <v>514032.3</v>
      </c>
      <c r="C41" s="14">
        <v>413337.17</v>
      </c>
      <c r="D41" s="14">
        <v>373513.61</v>
      </c>
      <c r="E41" s="14">
        <v>1300883.08</v>
      </c>
    </row>
    <row r="47" spans="1:13" ht="23" customHeight="1" x14ac:dyDescent="0.35">
      <c r="A47" s="28" t="s">
        <v>169</v>
      </c>
      <c r="B47" s="30"/>
      <c r="C47" s="30"/>
      <c r="D47" s="30"/>
      <c r="E47" s="30"/>
      <c r="F47" s="30"/>
    </row>
    <row r="48" spans="1:13" x14ac:dyDescent="0.35">
      <c r="A48" s="9" t="s">
        <v>170</v>
      </c>
      <c r="B48" s="9" t="s">
        <v>171</v>
      </c>
    </row>
    <row r="49" spans="1:6" x14ac:dyDescent="0.35">
      <c r="A49" s="9" t="s">
        <v>3</v>
      </c>
      <c r="B49" s="11" t="s">
        <v>27</v>
      </c>
      <c r="C49" s="11" t="s">
        <v>43</v>
      </c>
      <c r="D49" s="11" t="s">
        <v>14</v>
      </c>
      <c r="E49" s="11" t="s">
        <v>21</v>
      </c>
      <c r="F49" s="11" t="s">
        <v>133</v>
      </c>
    </row>
    <row r="50" spans="1:6" x14ac:dyDescent="0.35">
      <c r="A50" s="8" t="s">
        <v>31</v>
      </c>
      <c r="B50" s="17">
        <v>51662.599999999977</v>
      </c>
      <c r="C50" s="14">
        <v>84476.700000000012</v>
      </c>
      <c r="D50" s="16">
        <v>52741.87999999999</v>
      </c>
      <c r="E50" s="16">
        <v>70661.530000000013</v>
      </c>
      <c r="F50" s="16">
        <v>259542.71</v>
      </c>
    </row>
    <row r="51" spans="1:6" x14ac:dyDescent="0.35">
      <c r="A51" s="8" t="s">
        <v>28</v>
      </c>
      <c r="B51" s="17">
        <v>43129.389999999992</v>
      </c>
      <c r="C51" s="14">
        <v>48684.929999999993</v>
      </c>
      <c r="D51" s="16">
        <v>58060.090000000011</v>
      </c>
      <c r="E51" s="16">
        <v>100915.73</v>
      </c>
      <c r="F51" s="16">
        <v>250790.14</v>
      </c>
    </row>
    <row r="52" spans="1:6" x14ac:dyDescent="0.35">
      <c r="A52" s="8" t="s">
        <v>15</v>
      </c>
      <c r="B52" s="17">
        <v>51558.5</v>
      </c>
      <c r="C52" s="14">
        <v>70832.42</v>
      </c>
      <c r="D52" s="16">
        <v>70423.92</v>
      </c>
      <c r="E52" s="16">
        <v>31295.85</v>
      </c>
      <c r="F52" s="16">
        <v>224110.69</v>
      </c>
    </row>
    <row r="53" spans="1:6" x14ac:dyDescent="0.35">
      <c r="A53" s="8" t="s">
        <v>22</v>
      </c>
      <c r="B53" s="17">
        <v>11973.88</v>
      </c>
      <c r="C53" s="14">
        <v>50821.490000000013</v>
      </c>
      <c r="D53" s="16">
        <v>73492.00999999998</v>
      </c>
      <c r="E53" s="16">
        <v>68463.030000000013</v>
      </c>
      <c r="F53" s="16">
        <v>204750.41</v>
      </c>
    </row>
    <row r="54" spans="1:6" x14ac:dyDescent="0.35">
      <c r="A54" s="8" t="s">
        <v>54</v>
      </c>
      <c r="B54" s="17">
        <v>61502.33</v>
      </c>
      <c r="C54" s="14">
        <v>42977.960000000006</v>
      </c>
      <c r="D54" s="16">
        <v>35304.79</v>
      </c>
      <c r="E54" s="16">
        <v>44362.42</v>
      </c>
      <c r="F54" s="16">
        <v>184147.5</v>
      </c>
    </row>
    <row r="55" spans="1:6" x14ac:dyDescent="0.35">
      <c r="A55" s="8" t="s">
        <v>47</v>
      </c>
      <c r="B55" s="17">
        <v>71414.89</v>
      </c>
      <c r="C55" s="14">
        <v>48631.8</v>
      </c>
      <c r="D55" s="16">
        <v>38731.289999999994</v>
      </c>
      <c r="E55" s="16">
        <v>18763.650000000001</v>
      </c>
      <c r="F55" s="16">
        <v>177541.63</v>
      </c>
    </row>
    <row r="56" spans="1:6" x14ac:dyDescent="0.35">
      <c r="A56" s="8" t="s">
        <v>133</v>
      </c>
      <c r="B56" s="17">
        <v>291241.59000000003</v>
      </c>
      <c r="C56" s="14">
        <v>346425.3</v>
      </c>
      <c r="D56" s="16">
        <v>328753.98</v>
      </c>
      <c r="E56" s="16">
        <v>334462.21000000002</v>
      </c>
      <c r="F56" s="16">
        <v>1300883.08</v>
      </c>
    </row>
  </sheetData>
  <mergeCells count="14">
    <mergeCell ref="K12:L12"/>
    <mergeCell ref="A47:F47"/>
    <mergeCell ref="A34:E34"/>
    <mergeCell ref="E2:F2"/>
    <mergeCell ref="K2:L2"/>
    <mergeCell ref="A12:B12"/>
    <mergeCell ref="E21:F21"/>
    <mergeCell ref="K21:L21"/>
    <mergeCell ref="E12:F12"/>
    <mergeCell ref="A20:B20"/>
    <mergeCell ref="H12:I12"/>
    <mergeCell ref="A2:B2"/>
    <mergeCell ref="H2:I2"/>
    <mergeCell ref="H34:M34"/>
  </mergeCells>
  <conditionalFormatting pivot="1" sqref="B22:B30">
    <cfRule type="dataBar" priority="5">
      <dataBar>
        <cfvo type="min"/>
        <cfvo type="max"/>
        <color rgb="FFFF555A"/>
      </dataBar>
    </cfRule>
  </conditionalFormatting>
  <conditionalFormatting pivot="1" sqref="I14:I25">
    <cfRule type="dataBar" priority="2">
      <dataBar>
        <cfvo type="min"/>
        <cfvo type="max"/>
        <color rgb="FF638EC6"/>
      </dataBar>
    </cfRule>
  </conditionalFormatting>
  <conditionalFormatting pivot="1" sqref="B4:B7">
    <cfRule type="dataBar" priority="1">
      <dataBar>
        <cfvo type="min"/>
        <cfvo type="max"/>
        <color rgb="FF63C384"/>
      </dataBar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Messy Sales data</vt:lpstr>
      <vt:lpstr>Cleaned SalesData</vt:lpstr>
      <vt:lpstr>Updated Data</vt:lpstr>
      <vt:lpstr>Sorting</vt:lpstr>
      <vt:lpstr>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2026-07-22T10:43:50Z</dcterms:created>
  <dcterms:modified xsi:type="dcterms:W3CDTF">2026-07-27T19:57:40Z</dcterms:modified>
</cp:coreProperties>
</file>